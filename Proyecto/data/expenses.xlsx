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dde5cdf407de163/Documentos/"/>
    </mc:Choice>
  </mc:AlternateContent>
  <xr:revisionPtr revIDLastSave="2626" documentId="8_{4FE165EF-9B57-438C-A48E-411EAB035744}" xr6:coauthVersionLast="47" xr6:coauthVersionMax="47" xr10:uidLastSave="{70238CFE-1F5E-4C81-9FDF-CA78C453DDA7}"/>
  <bookViews>
    <workbookView xWindow="-108" yWindow="-108" windowWidth="23256" windowHeight="12456" activeTab="1" xr2:uid="{00000000-000D-0000-FFFF-FFFF00000000}"/>
  </bookViews>
  <sheets>
    <sheet name="Registro de Compras" sheetId="1" r:id="rId1"/>
    <sheet name="Resumen Semanal" sheetId="2" r:id="rId2"/>
    <sheet name="Productos Recurrentes" sheetId="3" r:id="rId3"/>
    <sheet name="Comidas" sheetId="4" r:id="rId4"/>
  </sheets>
  <definedNames>
    <definedName name="_xlnm._FilterDatabase" localSheetId="0" hidden="1">'Registro de Compras'!$A$1:$I$149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K2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C12" i="2"/>
  <c r="C11" i="2"/>
  <c r="C10" i="2"/>
  <c r="C9" i="2"/>
  <c r="C8" i="2"/>
  <c r="C7" i="2"/>
  <c r="C6" i="2"/>
  <c r="F6" i="2" s="1"/>
  <c r="H188" i="1"/>
  <c r="H183" i="1"/>
  <c r="H179" i="1"/>
  <c r="H171" i="1"/>
  <c r="H170" i="1"/>
  <c r="H168" i="1"/>
  <c r="H165" i="1"/>
  <c r="H150" i="1"/>
  <c r="H149" i="1"/>
  <c r="H147" i="1"/>
  <c r="I147" i="1" s="1"/>
  <c r="H144" i="1"/>
  <c r="I144" i="1" s="1"/>
  <c r="F248" i="1"/>
  <c r="M6" i="2"/>
  <c r="L6" i="2"/>
  <c r="E265" i="1"/>
  <c r="E164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55" i="1"/>
  <c r="F254" i="1"/>
  <c r="F253" i="1"/>
  <c r="F272" i="1"/>
  <c r="F270" i="1"/>
  <c r="F271" i="1"/>
  <c r="F269" i="1"/>
  <c r="F268" i="1"/>
  <c r="F267" i="1"/>
  <c r="F266" i="1"/>
  <c r="F262" i="1"/>
  <c r="F261" i="1"/>
  <c r="F264" i="1"/>
  <c r="F263" i="1"/>
  <c r="F260" i="1"/>
  <c r="F259" i="1"/>
  <c r="F258" i="1"/>
  <c r="F257" i="1"/>
  <c r="F256" i="1"/>
  <c r="F252" i="1"/>
  <c r="F251" i="1"/>
  <c r="F250" i="1"/>
  <c r="F249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4" i="1"/>
  <c r="F199" i="1"/>
  <c r="F198" i="1"/>
  <c r="F197" i="1"/>
  <c r="F196" i="1"/>
  <c r="F195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7" i="1"/>
  <c r="F148" i="1"/>
  <c r="H133" i="1"/>
  <c r="I133" i="1" s="1"/>
  <c r="H130" i="1"/>
  <c r="I130" i="1" s="1"/>
  <c r="H128" i="1"/>
  <c r="I128" i="1" s="1"/>
  <c r="H127" i="1"/>
  <c r="I127" i="1" s="1"/>
  <c r="H125" i="1"/>
  <c r="I125" i="1" s="1"/>
  <c r="H123" i="1"/>
  <c r="I123" i="1" s="1"/>
  <c r="C5" i="2"/>
  <c r="F5" i="2" s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B3" i="2"/>
  <c r="F124" i="1"/>
  <c r="C4" i="2"/>
  <c r="F4" i="2" s="1"/>
  <c r="H116" i="1"/>
  <c r="I116" i="1" s="1"/>
  <c r="F123" i="1"/>
  <c r="F122" i="1"/>
  <c r="F121" i="1"/>
  <c r="F120" i="1"/>
  <c r="F119" i="1"/>
  <c r="H114" i="1"/>
  <c r="I114" i="1" s="1"/>
  <c r="F118" i="1"/>
  <c r="F117" i="1"/>
  <c r="F116" i="1"/>
  <c r="H104" i="1"/>
  <c r="I104" i="1" s="1"/>
  <c r="F115" i="1"/>
  <c r="F114" i="1"/>
  <c r="H102" i="1"/>
  <c r="I102" i="1" s="1"/>
  <c r="F113" i="1"/>
  <c r="F112" i="1"/>
  <c r="F111" i="1"/>
  <c r="F110" i="1"/>
  <c r="F109" i="1"/>
  <c r="F108" i="1"/>
  <c r="H98" i="1"/>
  <c r="I98" i="1" s="1"/>
  <c r="F107" i="1"/>
  <c r="F106" i="1"/>
  <c r="F105" i="1"/>
  <c r="F104" i="1"/>
  <c r="F103" i="1"/>
  <c r="F102" i="1"/>
  <c r="H94" i="1"/>
  <c r="I94" i="1" s="1"/>
  <c r="F101" i="1"/>
  <c r="F100" i="1"/>
  <c r="F99" i="1"/>
  <c r="F98" i="1"/>
  <c r="F97" i="1"/>
  <c r="F96" i="1"/>
  <c r="H92" i="1"/>
  <c r="I92" i="1" s="1"/>
  <c r="F95" i="1"/>
  <c r="F94" i="1"/>
  <c r="H88" i="1"/>
  <c r="I88" i="1" s="1"/>
  <c r="F93" i="1"/>
  <c r="F92" i="1"/>
  <c r="C3" i="2"/>
  <c r="F3" i="2" s="1"/>
  <c r="G3" i="2" s="1"/>
  <c r="H81" i="1"/>
  <c r="I81" i="1" s="1"/>
  <c r="F87" i="1"/>
  <c r="F77" i="1"/>
  <c r="F90" i="1"/>
  <c r="F91" i="1"/>
  <c r="F89" i="1"/>
  <c r="F88" i="1"/>
  <c r="H78" i="1"/>
  <c r="I78" i="1" s="1"/>
  <c r="C2" i="2"/>
  <c r="F2" i="2" s="1"/>
  <c r="G2" i="2" s="1"/>
  <c r="F86" i="1"/>
  <c r="F85" i="1"/>
  <c r="F84" i="1"/>
  <c r="F83" i="1"/>
  <c r="F82" i="1"/>
  <c r="F81" i="1"/>
  <c r="D13" i="3"/>
  <c r="E13" i="3" s="1"/>
  <c r="D12" i="3"/>
  <c r="E12" i="3" s="1"/>
  <c r="D22" i="3"/>
  <c r="E22" i="3" s="1"/>
  <c r="H76" i="1"/>
  <c r="I76" i="1" s="1"/>
  <c r="F80" i="1"/>
  <c r="F79" i="1"/>
  <c r="F78" i="1"/>
  <c r="H72" i="1"/>
  <c r="I72" i="1" s="1"/>
  <c r="F76" i="1"/>
  <c r="H66" i="1"/>
  <c r="I66" i="1" s="1"/>
  <c r="F75" i="1"/>
  <c r="F74" i="1"/>
  <c r="F73" i="1"/>
  <c r="F72" i="1"/>
  <c r="D2" i="2"/>
  <c r="H46" i="1"/>
  <c r="I46" i="1" s="1"/>
  <c r="F71" i="1"/>
  <c r="F70" i="1"/>
  <c r="F69" i="1"/>
  <c r="F68" i="1"/>
  <c r="F67" i="1"/>
  <c r="F66" i="1"/>
  <c r="F65" i="1"/>
  <c r="F64" i="1"/>
  <c r="F63" i="1"/>
  <c r="F62" i="1"/>
  <c r="H42" i="1"/>
  <c r="I42" i="1" s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H40" i="1"/>
  <c r="I40" i="1" s="1"/>
  <c r="F45" i="1"/>
  <c r="F44" i="1"/>
  <c r="F43" i="1"/>
  <c r="F42" i="1"/>
  <c r="D8" i="3"/>
  <c r="E8" i="3" s="1"/>
  <c r="D3" i="3"/>
  <c r="E3" i="3" s="1"/>
  <c r="D4" i="3"/>
  <c r="E4" i="3" s="1"/>
  <c r="D5" i="3"/>
  <c r="E5" i="3" s="1"/>
  <c r="D6" i="3"/>
  <c r="E6" i="3" s="1"/>
  <c r="D7" i="3"/>
  <c r="E7" i="3" s="1"/>
  <c r="D9" i="3"/>
  <c r="E9" i="3" s="1"/>
  <c r="D10" i="3"/>
  <c r="E10" i="3" s="1"/>
  <c r="D11" i="3"/>
  <c r="E11" i="3" s="1"/>
  <c r="D14" i="3"/>
  <c r="E14" i="3" s="1"/>
  <c r="D15" i="3"/>
  <c r="E15" i="3" s="1"/>
  <c r="D16" i="3"/>
  <c r="E16" i="3" s="1"/>
  <c r="D17" i="3"/>
  <c r="E17" i="3" s="1"/>
  <c r="D18" i="3"/>
  <c r="E18" i="3" s="1"/>
  <c r="D19" i="3"/>
  <c r="E19" i="3" s="1"/>
  <c r="D20" i="3"/>
  <c r="E20" i="3" s="1"/>
  <c r="D21" i="3"/>
  <c r="E21" i="3" s="1"/>
  <c r="D2" i="3"/>
  <c r="E2" i="3" s="1"/>
  <c r="H37" i="1"/>
  <c r="I37" i="1" s="1"/>
  <c r="F41" i="1"/>
  <c r="F40" i="1"/>
  <c r="F39" i="1"/>
  <c r="H31" i="1"/>
  <c r="I31" i="1" s="1"/>
  <c r="F38" i="1"/>
  <c r="F37" i="1"/>
  <c r="F36" i="1"/>
  <c r="F35" i="1"/>
  <c r="F34" i="1"/>
  <c r="H27" i="1"/>
  <c r="I27" i="1" s="1"/>
  <c r="F33" i="1"/>
  <c r="F32" i="1"/>
  <c r="F31" i="1"/>
  <c r="H12" i="1"/>
  <c r="I12" i="1" s="1"/>
  <c r="F30" i="1"/>
  <c r="F29" i="1"/>
  <c r="F28" i="1"/>
  <c r="F27" i="1"/>
  <c r="H2" i="1"/>
  <c r="I2" i="1" s="1"/>
  <c r="F25" i="1"/>
  <c r="F24" i="1"/>
  <c r="F26" i="1"/>
  <c r="F23" i="1"/>
  <c r="F22" i="1"/>
  <c r="F21" i="1"/>
  <c r="F20" i="1"/>
  <c r="F19" i="1"/>
  <c r="F18" i="1"/>
  <c r="F17" i="1"/>
  <c r="F16" i="1"/>
  <c r="F15" i="1"/>
  <c r="F14" i="1"/>
  <c r="F13" i="1"/>
  <c r="F12" i="1"/>
  <c r="F3" i="1"/>
  <c r="F4" i="1"/>
  <c r="F5" i="1"/>
  <c r="F6" i="1"/>
  <c r="F7" i="1"/>
  <c r="F8" i="1"/>
  <c r="F9" i="1"/>
  <c r="F10" i="1"/>
  <c r="F11" i="1"/>
  <c r="F2" i="1"/>
  <c r="I2" i="2" l="1"/>
  <c r="J2" i="2"/>
</calcChain>
</file>

<file path=xl/sharedStrings.xml><?xml version="1.0" encoding="utf-8"?>
<sst xmlns="http://schemas.openxmlformats.org/spreadsheetml/2006/main" count="815" uniqueCount="261">
  <si>
    <t>Fecha</t>
  </si>
  <si>
    <t>Producto</t>
  </si>
  <si>
    <t>Categoría</t>
  </si>
  <si>
    <t>Precio (€)</t>
  </si>
  <si>
    <t>Duración (días)</t>
  </si>
  <si>
    <t>Fecha fin estimada</t>
  </si>
  <si>
    <t>Jamón</t>
  </si>
  <si>
    <t>Comida</t>
  </si>
  <si>
    <t>Higiene</t>
  </si>
  <si>
    <t>Pan</t>
  </si>
  <si>
    <t>Semana</t>
  </si>
  <si>
    <t>Presupuesto (€)</t>
  </si>
  <si>
    <t>Gastado (€)</t>
  </si>
  <si>
    <t>Disponible (€)</t>
  </si>
  <si>
    <t>Huevo</t>
  </si>
  <si>
    <t>Cereal</t>
  </si>
  <si>
    <t>Queso</t>
  </si>
  <si>
    <t>Jabón de manos</t>
  </si>
  <si>
    <t>Aceite de oliva</t>
  </si>
  <si>
    <t>Agua</t>
  </si>
  <si>
    <t>Hamburguesa</t>
  </si>
  <si>
    <t>Precio ($)</t>
  </si>
  <si>
    <t>Agua 6 L</t>
  </si>
  <si>
    <t>Crema de cacahuate</t>
  </si>
  <si>
    <t>Mantequilla</t>
  </si>
  <si>
    <t>Salmón con verduras</t>
  </si>
  <si>
    <t>Verduras</t>
  </si>
  <si>
    <t>Pimienta</t>
  </si>
  <si>
    <t>Sal de ajo</t>
  </si>
  <si>
    <t>Jitomate</t>
  </si>
  <si>
    <t>Leche de soja</t>
  </si>
  <si>
    <t>Yogurt</t>
  </si>
  <si>
    <t>Bolsa</t>
  </si>
  <si>
    <t>Bolsa isotermica</t>
  </si>
  <si>
    <t>Enjuage bocal</t>
  </si>
  <si>
    <t>Taza</t>
  </si>
  <si>
    <t>Bowl</t>
  </si>
  <si>
    <t>Gasto del día  (€)</t>
  </si>
  <si>
    <t>Gasto del día  ($)</t>
  </si>
  <si>
    <t>Cosas</t>
  </si>
  <si>
    <t>Carne</t>
  </si>
  <si>
    <t>Pollo</t>
  </si>
  <si>
    <t>Limón</t>
  </si>
  <si>
    <t>Plátano</t>
  </si>
  <si>
    <t>Atún</t>
  </si>
  <si>
    <t>Papas</t>
  </si>
  <si>
    <t>Café</t>
  </si>
  <si>
    <t>Metro</t>
  </si>
  <si>
    <t>Tienda</t>
  </si>
  <si>
    <t>Carrefour express</t>
  </si>
  <si>
    <t>Tienda random</t>
  </si>
  <si>
    <t>Carls JR</t>
  </si>
  <si>
    <t>Mercadona</t>
  </si>
  <si>
    <t>Aldi</t>
  </si>
  <si>
    <t>Culinarium</t>
  </si>
  <si>
    <t>Carrefour Market</t>
  </si>
  <si>
    <t>Alcampo</t>
  </si>
  <si>
    <t>Vivari</t>
  </si>
  <si>
    <t>Pase mensual</t>
  </si>
  <si>
    <t>Detergente ropa</t>
  </si>
  <si>
    <t>Flan</t>
  </si>
  <si>
    <t>Total proyectado (€)</t>
  </si>
  <si>
    <t>Desayuno Cotidiano</t>
  </si>
  <si>
    <t>Pescado</t>
  </si>
  <si>
    <t>Champiñiones</t>
  </si>
  <si>
    <t>Espinaca</t>
  </si>
  <si>
    <t>Cena</t>
  </si>
  <si>
    <t>Agua (Bezoya)</t>
  </si>
  <si>
    <t>Última Compra</t>
  </si>
  <si>
    <t>Pan Caja</t>
  </si>
  <si>
    <t>Desayuno en el vagón</t>
  </si>
  <si>
    <t>Agua mineral</t>
  </si>
  <si>
    <t>Toalla para manos</t>
  </si>
  <si>
    <t>El vagón de la máquina</t>
  </si>
  <si>
    <t>El corte inglés</t>
  </si>
  <si>
    <t>Romero</t>
  </si>
  <si>
    <t>Comino</t>
  </si>
  <si>
    <t>Tomate triturado</t>
  </si>
  <si>
    <t>Jengibre</t>
  </si>
  <si>
    <t xml:space="preserve">Orégano </t>
  </si>
  <si>
    <t>Pimienton dulce</t>
  </si>
  <si>
    <t>Albahaca</t>
  </si>
  <si>
    <t>Cayena</t>
  </si>
  <si>
    <t>Tomillo</t>
  </si>
  <si>
    <t>Perejil</t>
  </si>
  <si>
    <t>Curry</t>
  </si>
  <si>
    <t>Cilantro</t>
  </si>
  <si>
    <t>Arroz con verduras</t>
  </si>
  <si>
    <t>Shampoo</t>
  </si>
  <si>
    <t>Jabón corporal</t>
  </si>
  <si>
    <t>Bebida de chocolate</t>
  </si>
  <si>
    <t>Ahorrado</t>
  </si>
  <si>
    <t>Salsa de soja</t>
  </si>
  <si>
    <t xml:space="preserve">Pan Dulce </t>
  </si>
  <si>
    <t>Too good to go</t>
  </si>
  <si>
    <t>Gasto Recurrente Esperado(€)</t>
  </si>
  <si>
    <t xml:space="preserve">Yogurt </t>
  </si>
  <si>
    <t>Espuma cabello</t>
  </si>
  <si>
    <t>Tostadas Wasa</t>
  </si>
  <si>
    <t>Tortillas</t>
  </si>
  <si>
    <t xml:space="preserve">Salsa </t>
  </si>
  <si>
    <t>Semanas</t>
  </si>
  <si>
    <t>Leche de soja (2)</t>
  </si>
  <si>
    <t>Agua (Bezoya) (2)</t>
  </si>
  <si>
    <t>23-29 ago</t>
  </si>
  <si>
    <t>17-22 ago</t>
  </si>
  <si>
    <t>30-5 sept</t>
  </si>
  <si>
    <t>Sardinas</t>
  </si>
  <si>
    <t>Agua (Font Vella)</t>
  </si>
  <si>
    <t>Agua termal</t>
  </si>
  <si>
    <t>Churros</t>
  </si>
  <si>
    <t>iCloud</t>
  </si>
  <si>
    <t>Servicio</t>
  </si>
  <si>
    <t>Apple</t>
  </si>
  <si>
    <t>Churrería Chocolateria 1902</t>
  </si>
  <si>
    <t>Cheescake</t>
  </si>
  <si>
    <t>99 Cheescake</t>
  </si>
  <si>
    <t>Primor</t>
  </si>
  <si>
    <t>Sandwiches</t>
  </si>
  <si>
    <t>Huevos</t>
  </si>
  <si>
    <t>Salsa verde</t>
  </si>
  <si>
    <t>Avena</t>
  </si>
  <si>
    <t>Lidl</t>
  </si>
  <si>
    <t>Royal</t>
  </si>
  <si>
    <t>Blueberries</t>
  </si>
  <si>
    <t>Suavizante</t>
  </si>
  <si>
    <t>Pure de papa</t>
  </si>
  <si>
    <t>Salmón</t>
  </si>
  <si>
    <t>Canela</t>
  </si>
  <si>
    <t>Leche semidesnatada</t>
  </si>
  <si>
    <t>6-12 sept</t>
  </si>
  <si>
    <t>Comida Cafeteria</t>
  </si>
  <si>
    <t>Universidad</t>
  </si>
  <si>
    <t>Yogurt natural</t>
  </si>
  <si>
    <t>Miel de maple</t>
  </si>
  <si>
    <t>Enjuage bocal (2)</t>
  </si>
  <si>
    <t>Medicina</t>
  </si>
  <si>
    <t>Doctor</t>
  </si>
  <si>
    <t>Salud</t>
  </si>
  <si>
    <t>Vitamina C</t>
  </si>
  <si>
    <t>Farmacia</t>
  </si>
  <si>
    <t>Hospital Universitario Moncloa</t>
  </si>
  <si>
    <t>13-19 sept</t>
  </si>
  <si>
    <t>Panes</t>
  </si>
  <si>
    <t>Manolo Bakes</t>
  </si>
  <si>
    <t>Lunes</t>
  </si>
  <si>
    <t>Martes</t>
  </si>
  <si>
    <t>Miércoles</t>
  </si>
  <si>
    <t>Jueves</t>
  </si>
  <si>
    <t>Viernes</t>
  </si>
  <si>
    <t>Sábado</t>
  </si>
  <si>
    <t>Domingo</t>
  </si>
  <si>
    <t>Desayuno</t>
  </si>
  <si>
    <t>Snack</t>
  </si>
  <si>
    <t>Opcion A</t>
  </si>
  <si>
    <t>Huevo con jamón</t>
  </si>
  <si>
    <t>Pan francés</t>
  </si>
  <si>
    <t xml:space="preserve">Pan tostado </t>
  </si>
  <si>
    <t>Yogurt con cereal</t>
  </si>
  <si>
    <t>Yogut con cereal</t>
  </si>
  <si>
    <t>Salmón con pure de papas y verduras</t>
  </si>
  <si>
    <t>Lentejas</t>
  </si>
  <si>
    <t>Garbanzos</t>
  </si>
  <si>
    <t>Hot cakes</t>
  </si>
  <si>
    <t>Huevo con espinaca</t>
  </si>
  <si>
    <t>Pollo al ajillo con arroz y papas</t>
  </si>
  <si>
    <t>Pollo con salsa de tomate  con arroz y papas</t>
  </si>
  <si>
    <t>Pollo con paprica y limon, arroz y papas</t>
  </si>
  <si>
    <t>Pollo hierbas y limón con arroz y papas</t>
  </si>
  <si>
    <t>Pollo con curry, arroz y papas</t>
  </si>
  <si>
    <t>Pollo pimienta-limón, con arroz y papas</t>
  </si>
  <si>
    <t>Aproximado:</t>
  </si>
  <si>
    <t xml:space="preserve">Pollo con salsa de tomate,  arroz y papas </t>
  </si>
  <si>
    <t>Pescado con   con limón y ajo arroz y papas</t>
  </si>
  <si>
    <t>Pescado  salsa de tomate o con arroz y papas</t>
  </si>
  <si>
    <t>Pescado con ajo y pimienta  arroz y papas</t>
  </si>
  <si>
    <t>Pescado con pimienton arroz y papas</t>
  </si>
  <si>
    <t>Pescado con pimienton  arroz y papas</t>
  </si>
  <si>
    <t>Pescado con soja  arroz y papas</t>
  </si>
  <si>
    <t>Pescado con oregano arroz y papas</t>
  </si>
  <si>
    <t>Pescado con oregano  arroz y papas</t>
  </si>
  <si>
    <t>20-26 sept</t>
  </si>
  <si>
    <t>27-3 oct</t>
  </si>
  <si>
    <t>4-10 oct</t>
  </si>
  <si>
    <t>11-17 oct</t>
  </si>
  <si>
    <t>18-24 oct</t>
  </si>
  <si>
    <t>25-31 nov</t>
  </si>
  <si>
    <t>1-7 nov</t>
  </si>
  <si>
    <t>8-45 nov</t>
  </si>
  <si>
    <t>15-21 nov</t>
  </si>
  <si>
    <t>22-28 nov</t>
  </si>
  <si>
    <t>29-5 dic</t>
  </si>
  <si>
    <t>6-12 dic</t>
  </si>
  <si>
    <t>13-19 dic</t>
  </si>
  <si>
    <t>20-26 dic</t>
  </si>
  <si>
    <t>27-2 ene</t>
  </si>
  <si>
    <t>2-9 ene</t>
  </si>
  <si>
    <t>10-16 ene</t>
  </si>
  <si>
    <t xml:space="preserve">Huevo con champiiñones </t>
  </si>
  <si>
    <t>Huevo con champiiñones</t>
  </si>
  <si>
    <t>Huevo con champiñiones</t>
  </si>
  <si>
    <t>Huevo con jitomate</t>
  </si>
  <si>
    <t>Pescado curry arroz y papas</t>
  </si>
  <si>
    <t xml:space="preserve">Salteado de verduras </t>
  </si>
  <si>
    <t>Agua Font Vella 6.25L</t>
  </si>
  <si>
    <t>Crema de peinar</t>
  </si>
  <si>
    <t>Papas (2)</t>
  </si>
  <si>
    <t>Platano</t>
  </si>
  <si>
    <t>Limon</t>
  </si>
  <si>
    <t>Pan Integral Natural</t>
  </si>
  <si>
    <t>Paella</t>
  </si>
  <si>
    <t xml:space="preserve">Paellitas </t>
  </si>
  <si>
    <t>Pasta c/pollo pesto</t>
  </si>
  <si>
    <t>Banana</t>
  </si>
  <si>
    <t>Pizza carbonara</t>
  </si>
  <si>
    <t>Cacao</t>
  </si>
  <si>
    <t>Chocolate</t>
  </si>
  <si>
    <t>Té jengibre limón</t>
  </si>
  <si>
    <t>Pechuga Pavo</t>
  </si>
  <si>
    <t>Pasta lenteja</t>
  </si>
  <si>
    <t>Naranja</t>
  </si>
  <si>
    <t>Frambuesa</t>
  </si>
  <si>
    <t>Moras</t>
  </si>
  <si>
    <t>Salsa</t>
  </si>
  <si>
    <t>Desodoroante</t>
  </si>
  <si>
    <t>Café Gold Natural</t>
  </si>
  <si>
    <t>Helado</t>
  </si>
  <si>
    <t>llaollao</t>
  </si>
  <si>
    <t>Queso cabra</t>
  </si>
  <si>
    <t>Yogurt griego</t>
  </si>
  <si>
    <t>Pavo ajillo</t>
  </si>
  <si>
    <t>Bolsas congelacion</t>
  </si>
  <si>
    <t>Mostaza</t>
  </si>
  <si>
    <t>Ajo</t>
  </si>
  <si>
    <t>Chocolates</t>
  </si>
  <si>
    <t>Desinfectante de verduras</t>
  </si>
  <si>
    <t>Queso fresco</t>
  </si>
  <si>
    <t>Pan Molde Integral</t>
  </si>
  <si>
    <t>Arroz SOS</t>
  </si>
  <si>
    <t>Spaghettini huevo</t>
  </si>
  <si>
    <t>Pan burguer</t>
  </si>
  <si>
    <t>Lechuga</t>
  </si>
  <si>
    <t>Burgermeat vacuno</t>
  </si>
  <si>
    <t>Caldo de Pollo</t>
  </si>
  <si>
    <t>Tuppers</t>
  </si>
  <si>
    <t>Queso Cheddar</t>
  </si>
  <si>
    <t>Queso parmesano</t>
  </si>
  <si>
    <t>Tiras Guanciacle 100 gr</t>
  </si>
  <si>
    <t>Ginger</t>
  </si>
  <si>
    <t>Chat GPT</t>
  </si>
  <si>
    <t>Bus Marbella</t>
  </si>
  <si>
    <t>Viajes</t>
  </si>
  <si>
    <t>Tren Madrid Málaga</t>
  </si>
  <si>
    <t>Tren Malaga-Madrid</t>
  </si>
  <si>
    <t>Ronda</t>
  </si>
  <si>
    <t>Total</t>
  </si>
  <si>
    <t>Pan de muerto</t>
  </si>
  <si>
    <t>Pancito Perron</t>
  </si>
  <si>
    <t>18-24</t>
  </si>
  <si>
    <t>Gastado Viaje</t>
  </si>
  <si>
    <t>Ahorrado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</si>
</sst>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/mm/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14" fontId="0" fillId="6" borderId="1" xfId="0" applyNumberFormat="1" applyFill="1" applyBorder="1"/>
    <xf numFmtId="14" fontId="0" fillId="5" borderId="1" xfId="0" applyNumberFormat="1" applyFill="1" applyBorder="1"/>
    <xf numFmtId="0" fontId="0" fillId="7" borderId="1" xfId="0" applyFill="1" applyBorder="1"/>
    <xf numFmtId="0" fontId="1" fillId="0" borderId="3" xfId="0" applyFont="1" applyBorder="1" applyAlignment="1">
      <alignment horizontal="center" vertical="top"/>
    </xf>
    <xf numFmtId="165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11" borderId="1" xfId="0" applyFont="1" applyFill="1" applyBorder="1" applyAlignment="1">
      <alignment horizontal="center" vertical="top"/>
    </xf>
    <xf numFmtId="0" fontId="1" fillId="11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5" borderId="3" xfId="0" applyNumberFormat="1" applyFill="1" applyBorder="1"/>
    <xf numFmtId="0" fontId="0" fillId="0" borderId="3" xfId="0" applyBorder="1"/>
    <xf numFmtId="0" fontId="0" fillId="0" borderId="1" xfId="0" applyBorder="1" applyAlignment="1">
      <alignment horizontal="center" vertical="center"/>
    </xf>
    <xf numFmtId="14" fontId="0" fillId="6" borderId="3" xfId="0" applyNumberFormat="1" applyFill="1" applyBorder="1"/>
    <xf numFmtId="0" fontId="2" fillId="11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14" borderId="1" xfId="0" applyFill="1" applyBorder="1"/>
    <xf numFmtId="0" fontId="0" fillId="1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2"/>
  <sheetViews>
    <sheetView topLeftCell="A223" workbookViewId="0">
      <selection activeCell="D249" sqref="D249"/>
    </sheetView>
  </sheetViews>
  <sheetFormatPr baseColWidth="10" defaultColWidth="8.88671875" defaultRowHeight="14.4" x14ac:dyDescent="0.3"/>
  <cols>
    <col min="1" max="1" width="8.88671875" style="11"/>
    <col min="2" max="2" width="17.21875" customWidth="1"/>
    <col min="3" max="3" width="11.6640625" style="11" customWidth="1"/>
    <col min="4" max="4" width="22.33203125" customWidth="1"/>
    <col min="7" max="7" width="40.109375" customWidth="1"/>
    <col min="8" max="8" width="15.6640625" style="11" customWidth="1"/>
    <col min="9" max="9" width="15" style="11" customWidth="1"/>
  </cols>
  <sheetData>
    <row r="1" spans="1:9" x14ac:dyDescent="0.3">
      <c r="A1" s="20" t="s">
        <v>101</v>
      </c>
      <c r="B1" s="12" t="s">
        <v>0</v>
      </c>
      <c r="C1" s="13" t="s">
        <v>2</v>
      </c>
      <c r="D1" s="12" t="s">
        <v>1</v>
      </c>
      <c r="E1" s="12" t="s">
        <v>3</v>
      </c>
      <c r="F1" s="12" t="s">
        <v>21</v>
      </c>
      <c r="G1" s="12" t="s">
        <v>48</v>
      </c>
      <c r="H1" s="13" t="s">
        <v>37</v>
      </c>
      <c r="I1" s="13" t="s">
        <v>38</v>
      </c>
    </row>
    <row r="2" spans="1:9" x14ac:dyDescent="0.3">
      <c r="A2" s="33" t="s">
        <v>105</v>
      </c>
      <c r="B2" s="4">
        <v>45886</v>
      </c>
      <c r="C2" s="35" t="s">
        <v>7</v>
      </c>
      <c r="D2" s="2" t="s">
        <v>6</v>
      </c>
      <c r="E2" s="2">
        <v>1</v>
      </c>
      <c r="F2" s="2">
        <f>E2*23</f>
        <v>23</v>
      </c>
      <c r="G2" s="2" t="s">
        <v>49</v>
      </c>
      <c r="H2" s="30">
        <f>SUMIF(B:B,"17/8/2025",E:E)</f>
        <v>22.79</v>
      </c>
      <c r="I2" s="30">
        <f>H2*23</f>
        <v>524.16999999999996</v>
      </c>
    </row>
    <row r="3" spans="1:9" x14ac:dyDescent="0.3">
      <c r="A3" s="33"/>
      <c r="B3" s="4">
        <v>45886</v>
      </c>
      <c r="C3" s="35"/>
      <c r="D3" s="2" t="s">
        <v>14</v>
      </c>
      <c r="E3" s="2">
        <v>2.75</v>
      </c>
      <c r="F3" s="2">
        <f t="shared" ref="F3:F25" si="0">E3*23</f>
        <v>63.25</v>
      </c>
      <c r="G3" s="2" t="s">
        <v>49</v>
      </c>
      <c r="H3" s="32"/>
      <c r="I3" s="32"/>
    </row>
    <row r="4" spans="1:9" x14ac:dyDescent="0.3">
      <c r="A4" s="33"/>
      <c r="B4" s="4">
        <v>45886</v>
      </c>
      <c r="C4" s="35"/>
      <c r="D4" s="2" t="s">
        <v>69</v>
      </c>
      <c r="E4" s="2">
        <v>1.1499999999999999</v>
      </c>
      <c r="F4" s="2">
        <f t="shared" si="0"/>
        <v>26.45</v>
      </c>
      <c r="G4" s="2" t="s">
        <v>49</v>
      </c>
      <c r="H4" s="32"/>
      <c r="I4" s="32"/>
    </row>
    <row r="5" spans="1:9" x14ac:dyDescent="0.3">
      <c r="A5" s="33"/>
      <c r="B5" s="4">
        <v>45886</v>
      </c>
      <c r="C5" s="35"/>
      <c r="D5" s="2" t="s">
        <v>15</v>
      </c>
      <c r="E5" s="2">
        <v>1.69</v>
      </c>
      <c r="F5" s="2">
        <f t="shared" si="0"/>
        <v>38.869999999999997</v>
      </c>
      <c r="G5" s="2" t="s">
        <v>49</v>
      </c>
      <c r="H5" s="32"/>
      <c r="I5" s="32"/>
    </row>
    <row r="6" spans="1:9" x14ac:dyDescent="0.3">
      <c r="A6" s="33"/>
      <c r="B6" s="4">
        <v>45886</v>
      </c>
      <c r="C6" s="35"/>
      <c r="D6" s="2" t="s">
        <v>16</v>
      </c>
      <c r="E6" s="2">
        <v>2.65</v>
      </c>
      <c r="F6" s="2">
        <f t="shared" si="0"/>
        <v>60.949999999999996</v>
      </c>
      <c r="G6" s="2" t="s">
        <v>49</v>
      </c>
      <c r="H6" s="32"/>
      <c r="I6" s="32"/>
    </row>
    <row r="7" spans="1:9" x14ac:dyDescent="0.3">
      <c r="A7" s="33"/>
      <c r="B7" s="4">
        <v>45886</v>
      </c>
      <c r="C7" s="35"/>
      <c r="D7" s="2" t="s">
        <v>30</v>
      </c>
      <c r="E7" s="2">
        <v>1.25</v>
      </c>
      <c r="F7" s="2">
        <f t="shared" si="0"/>
        <v>28.75</v>
      </c>
      <c r="G7" s="2" t="s">
        <v>49</v>
      </c>
      <c r="H7" s="32"/>
      <c r="I7" s="32"/>
    </row>
    <row r="8" spans="1:9" x14ac:dyDescent="0.3">
      <c r="A8" s="33"/>
      <c r="B8" s="4">
        <v>45886</v>
      </c>
      <c r="C8" s="35"/>
      <c r="D8" s="2" t="s">
        <v>18</v>
      </c>
      <c r="E8" s="2">
        <v>2.7</v>
      </c>
      <c r="F8" s="2">
        <f t="shared" si="0"/>
        <v>62.1</v>
      </c>
      <c r="G8" s="2" t="s">
        <v>49</v>
      </c>
      <c r="H8" s="32"/>
      <c r="I8" s="32"/>
    </row>
    <row r="9" spans="1:9" x14ac:dyDescent="0.3">
      <c r="A9" s="33"/>
      <c r="B9" s="4">
        <v>45886</v>
      </c>
      <c r="C9" s="35"/>
      <c r="D9" s="2" t="s">
        <v>19</v>
      </c>
      <c r="E9" s="2">
        <v>1</v>
      </c>
      <c r="F9" s="2">
        <f t="shared" si="0"/>
        <v>23</v>
      </c>
      <c r="G9" s="2" t="s">
        <v>50</v>
      </c>
      <c r="H9" s="32"/>
      <c r="I9" s="32"/>
    </row>
    <row r="10" spans="1:9" x14ac:dyDescent="0.3">
      <c r="A10" s="33"/>
      <c r="B10" s="4">
        <v>45886</v>
      </c>
      <c r="C10" s="35"/>
      <c r="D10" s="2" t="s">
        <v>20</v>
      </c>
      <c r="E10" s="2">
        <v>6.95</v>
      </c>
      <c r="F10" s="2">
        <f t="shared" si="0"/>
        <v>159.85</v>
      </c>
      <c r="G10" s="2" t="s">
        <v>51</v>
      </c>
      <c r="H10" s="32"/>
      <c r="I10" s="32"/>
    </row>
    <row r="11" spans="1:9" x14ac:dyDescent="0.3">
      <c r="A11" s="33"/>
      <c r="B11" s="4">
        <v>45886</v>
      </c>
      <c r="C11" s="14" t="s">
        <v>8</v>
      </c>
      <c r="D11" s="2" t="s">
        <v>17</v>
      </c>
      <c r="E11" s="2">
        <v>1.65</v>
      </c>
      <c r="F11" s="2">
        <f t="shared" si="0"/>
        <v>37.949999999999996</v>
      </c>
      <c r="G11" s="2" t="s">
        <v>49</v>
      </c>
      <c r="H11" s="31"/>
      <c r="I11" s="31"/>
    </row>
    <row r="12" spans="1:9" x14ac:dyDescent="0.3">
      <c r="A12" s="33"/>
      <c r="B12" s="5">
        <v>45887</v>
      </c>
      <c r="C12" s="35" t="s">
        <v>7</v>
      </c>
      <c r="D12" s="2" t="s">
        <v>22</v>
      </c>
      <c r="E12" s="2">
        <v>1.1599999999999999</v>
      </c>
      <c r="F12" s="2">
        <f t="shared" si="0"/>
        <v>26.68</v>
      </c>
      <c r="G12" s="2" t="s">
        <v>52</v>
      </c>
      <c r="H12" s="30">
        <f>SUMIF(B:B,"18/8/2025",E:E)</f>
        <v>33.92</v>
      </c>
      <c r="I12" s="30">
        <f>H12*23</f>
        <v>780.16000000000008</v>
      </c>
    </row>
    <row r="13" spans="1:9" x14ac:dyDescent="0.3">
      <c r="A13" s="33"/>
      <c r="B13" s="5">
        <v>45887</v>
      </c>
      <c r="C13" s="35"/>
      <c r="D13" s="2" t="s">
        <v>23</v>
      </c>
      <c r="E13" s="2">
        <v>3.19</v>
      </c>
      <c r="F13" s="2">
        <f t="shared" si="0"/>
        <v>73.37</v>
      </c>
      <c r="G13" s="2" t="s">
        <v>49</v>
      </c>
      <c r="H13" s="32"/>
      <c r="I13" s="32"/>
    </row>
    <row r="14" spans="1:9" x14ac:dyDescent="0.3">
      <c r="A14" s="33"/>
      <c r="B14" s="5">
        <v>45887</v>
      </c>
      <c r="C14" s="35"/>
      <c r="D14" s="2" t="s">
        <v>24</v>
      </c>
      <c r="E14" s="2">
        <v>2.25</v>
      </c>
      <c r="F14" s="2">
        <f t="shared" si="0"/>
        <v>51.75</v>
      </c>
      <c r="G14" s="2" t="s">
        <v>52</v>
      </c>
      <c r="H14" s="32"/>
      <c r="I14" s="32"/>
    </row>
    <row r="15" spans="1:9" x14ac:dyDescent="0.3">
      <c r="A15" s="33"/>
      <c r="B15" s="5">
        <v>45887</v>
      </c>
      <c r="C15" s="35"/>
      <c r="D15" s="2" t="s">
        <v>25</v>
      </c>
      <c r="E15" s="2">
        <v>5.75</v>
      </c>
      <c r="F15" s="2">
        <f t="shared" si="0"/>
        <v>132.25</v>
      </c>
      <c r="G15" s="2" t="s">
        <v>52</v>
      </c>
      <c r="H15" s="32"/>
      <c r="I15" s="32"/>
    </row>
    <row r="16" spans="1:9" x14ac:dyDescent="0.3">
      <c r="A16" s="33"/>
      <c r="B16" s="5">
        <v>45887</v>
      </c>
      <c r="C16" s="35"/>
      <c r="D16" s="2" t="s">
        <v>26</v>
      </c>
      <c r="E16" s="2">
        <v>2</v>
      </c>
      <c r="F16" s="2">
        <f t="shared" si="0"/>
        <v>46</v>
      </c>
      <c r="G16" s="2" t="s">
        <v>52</v>
      </c>
      <c r="H16" s="32"/>
      <c r="I16" s="32"/>
    </row>
    <row r="17" spans="1:9" x14ac:dyDescent="0.3">
      <c r="A17" s="33"/>
      <c r="B17" s="5">
        <v>45887</v>
      </c>
      <c r="C17" s="35"/>
      <c r="D17" s="2" t="s">
        <v>27</v>
      </c>
      <c r="E17" s="2">
        <v>1.3</v>
      </c>
      <c r="F17" s="2">
        <f t="shared" si="0"/>
        <v>29.900000000000002</v>
      </c>
      <c r="G17" s="2" t="s">
        <v>52</v>
      </c>
      <c r="H17" s="32"/>
      <c r="I17" s="32"/>
    </row>
    <row r="18" spans="1:9" x14ac:dyDescent="0.3">
      <c r="A18" s="33"/>
      <c r="B18" s="5">
        <v>45887</v>
      </c>
      <c r="C18" s="35"/>
      <c r="D18" s="2" t="s">
        <v>28</v>
      </c>
      <c r="E18" s="2">
        <v>1.8</v>
      </c>
      <c r="F18" s="2">
        <f t="shared" si="0"/>
        <v>41.4</v>
      </c>
      <c r="G18" s="2" t="s">
        <v>52</v>
      </c>
      <c r="H18" s="32"/>
      <c r="I18" s="32"/>
    </row>
    <row r="19" spans="1:9" x14ac:dyDescent="0.3">
      <c r="A19" s="33"/>
      <c r="B19" s="5">
        <v>45887</v>
      </c>
      <c r="C19" s="35"/>
      <c r="D19" s="2" t="s">
        <v>29</v>
      </c>
      <c r="E19" s="2">
        <v>0.76</v>
      </c>
      <c r="F19" s="2">
        <f t="shared" si="0"/>
        <v>17.48</v>
      </c>
      <c r="G19" s="2" t="s">
        <v>53</v>
      </c>
      <c r="H19" s="32"/>
      <c r="I19" s="32"/>
    </row>
    <row r="20" spans="1:9" x14ac:dyDescent="0.3">
      <c r="A20" s="33"/>
      <c r="B20" s="5">
        <v>45887</v>
      </c>
      <c r="C20" s="35"/>
      <c r="D20" s="2" t="s">
        <v>30</v>
      </c>
      <c r="E20" s="2">
        <v>0.62</v>
      </c>
      <c r="F20" s="2">
        <f t="shared" si="0"/>
        <v>14.26</v>
      </c>
      <c r="G20" s="2" t="s">
        <v>53</v>
      </c>
      <c r="H20" s="32"/>
      <c r="I20" s="32"/>
    </row>
    <row r="21" spans="1:9" x14ac:dyDescent="0.3">
      <c r="A21" s="33"/>
      <c r="B21" s="5">
        <v>45887</v>
      </c>
      <c r="C21" s="35"/>
      <c r="D21" s="2" t="s">
        <v>31</v>
      </c>
      <c r="E21" s="2">
        <v>2.99</v>
      </c>
      <c r="F21" s="2">
        <f t="shared" si="0"/>
        <v>68.77000000000001</v>
      </c>
      <c r="G21" s="2" t="s">
        <v>53</v>
      </c>
      <c r="H21" s="32"/>
      <c r="I21" s="32"/>
    </row>
    <row r="22" spans="1:9" x14ac:dyDescent="0.3">
      <c r="A22" s="33"/>
      <c r="B22" s="5">
        <v>45887</v>
      </c>
      <c r="C22" s="42" t="s">
        <v>39</v>
      </c>
      <c r="D22" s="6" t="s">
        <v>32</v>
      </c>
      <c r="E22" s="2">
        <v>0.35</v>
      </c>
      <c r="F22" s="2">
        <f t="shared" si="0"/>
        <v>8.0499999999999989</v>
      </c>
      <c r="G22" s="2" t="s">
        <v>53</v>
      </c>
      <c r="H22" s="32"/>
      <c r="I22" s="32"/>
    </row>
    <row r="23" spans="1:9" x14ac:dyDescent="0.3">
      <c r="A23" s="33"/>
      <c r="B23" s="5">
        <v>45887</v>
      </c>
      <c r="C23" s="42"/>
      <c r="D23" s="6" t="s">
        <v>33</v>
      </c>
      <c r="E23" s="2">
        <v>1.9</v>
      </c>
      <c r="F23" s="2">
        <f t="shared" si="0"/>
        <v>43.699999999999996</v>
      </c>
      <c r="G23" s="2" t="s">
        <v>52</v>
      </c>
      <c r="H23" s="32"/>
      <c r="I23" s="32"/>
    </row>
    <row r="24" spans="1:9" x14ac:dyDescent="0.3">
      <c r="A24" s="33"/>
      <c r="B24" s="5">
        <v>45887</v>
      </c>
      <c r="C24" s="42"/>
      <c r="D24" s="6" t="s">
        <v>35</v>
      </c>
      <c r="E24" s="2">
        <v>2.95</v>
      </c>
      <c r="F24" s="2">
        <f t="shared" si="0"/>
        <v>67.850000000000009</v>
      </c>
      <c r="G24" s="2" t="s">
        <v>54</v>
      </c>
      <c r="H24" s="32"/>
      <c r="I24" s="32"/>
    </row>
    <row r="25" spans="1:9" x14ac:dyDescent="0.3">
      <c r="A25" s="33"/>
      <c r="B25" s="5">
        <v>45887</v>
      </c>
      <c r="C25" s="42"/>
      <c r="D25" s="6" t="s">
        <v>36</v>
      </c>
      <c r="E25" s="2">
        <v>4.95</v>
      </c>
      <c r="F25" s="2">
        <f t="shared" si="0"/>
        <v>113.85000000000001</v>
      </c>
      <c r="G25" s="2" t="s">
        <v>54</v>
      </c>
      <c r="H25" s="32"/>
      <c r="I25" s="32"/>
    </row>
    <row r="26" spans="1:9" x14ac:dyDescent="0.3">
      <c r="A26" s="33"/>
      <c r="B26" s="5">
        <v>45887</v>
      </c>
      <c r="C26" s="14" t="s">
        <v>8</v>
      </c>
      <c r="D26" s="2" t="s">
        <v>34</v>
      </c>
      <c r="E26" s="2">
        <v>1.95</v>
      </c>
      <c r="F26" s="2">
        <f t="shared" ref="F26:F103" si="1">E26*23</f>
        <v>44.85</v>
      </c>
      <c r="G26" s="2" t="s">
        <v>49</v>
      </c>
      <c r="H26" s="31"/>
      <c r="I26" s="31"/>
    </row>
    <row r="27" spans="1:9" x14ac:dyDescent="0.3">
      <c r="A27" s="33"/>
      <c r="B27" s="4">
        <v>45888</v>
      </c>
      <c r="C27" s="37" t="s">
        <v>7</v>
      </c>
      <c r="D27" s="2" t="s">
        <v>40</v>
      </c>
      <c r="E27" s="2">
        <v>8.9600000000000009</v>
      </c>
      <c r="F27" s="2">
        <f t="shared" si="1"/>
        <v>206.08</v>
      </c>
      <c r="G27" s="2" t="s">
        <v>52</v>
      </c>
      <c r="H27" s="30">
        <f>SUMIF(B:B,"19/8/2025",E:E)</f>
        <v>15.330000000000002</v>
      </c>
      <c r="I27" s="30">
        <f>H27*23</f>
        <v>352.59000000000003</v>
      </c>
    </row>
    <row r="28" spans="1:9" x14ac:dyDescent="0.3">
      <c r="A28" s="33"/>
      <c r="B28" s="4">
        <v>45888</v>
      </c>
      <c r="C28" s="38"/>
      <c r="D28" s="2" t="s">
        <v>41</v>
      </c>
      <c r="E28" s="2">
        <v>4.75</v>
      </c>
      <c r="F28" s="2">
        <f t="shared" si="1"/>
        <v>109.25</v>
      </c>
      <c r="G28" s="2" t="s">
        <v>52</v>
      </c>
      <c r="H28" s="32"/>
      <c r="I28" s="32"/>
    </row>
    <row r="29" spans="1:9" x14ac:dyDescent="0.3">
      <c r="A29" s="33"/>
      <c r="B29" s="4">
        <v>45888</v>
      </c>
      <c r="C29" s="38"/>
      <c r="D29" s="2" t="s">
        <v>42</v>
      </c>
      <c r="E29" s="2">
        <v>0.63</v>
      </c>
      <c r="F29" s="2">
        <f t="shared" si="1"/>
        <v>14.49</v>
      </c>
      <c r="G29" s="2" t="s">
        <v>52</v>
      </c>
      <c r="H29" s="32"/>
      <c r="I29" s="32"/>
    </row>
    <row r="30" spans="1:9" x14ac:dyDescent="0.3">
      <c r="A30" s="33"/>
      <c r="B30" s="4">
        <v>45888</v>
      </c>
      <c r="C30" s="39"/>
      <c r="D30" s="2" t="s">
        <v>43</v>
      </c>
      <c r="E30" s="2">
        <v>0.99</v>
      </c>
      <c r="F30" s="2">
        <f t="shared" si="1"/>
        <v>22.77</v>
      </c>
      <c r="G30" s="2" t="s">
        <v>52</v>
      </c>
      <c r="H30" s="31"/>
      <c r="I30" s="31"/>
    </row>
    <row r="31" spans="1:9" x14ac:dyDescent="0.3">
      <c r="A31" s="33"/>
      <c r="B31" s="5">
        <v>45889</v>
      </c>
      <c r="C31" s="35" t="s">
        <v>7</v>
      </c>
      <c r="D31" s="2" t="s">
        <v>44</v>
      </c>
      <c r="E31" s="2">
        <v>5.65</v>
      </c>
      <c r="F31" s="2">
        <f t="shared" si="1"/>
        <v>129.95000000000002</v>
      </c>
      <c r="G31" s="2" t="s">
        <v>55</v>
      </c>
      <c r="H31" s="30">
        <f>SUMIF(B:B,"20/8/2025",E:E)</f>
        <v>20.95</v>
      </c>
      <c r="I31" s="30">
        <f>H31*23</f>
        <v>481.84999999999997</v>
      </c>
    </row>
    <row r="32" spans="1:9" x14ac:dyDescent="0.3">
      <c r="A32" s="33"/>
      <c r="B32" s="5">
        <v>45889</v>
      </c>
      <c r="C32" s="35"/>
      <c r="D32" s="2" t="s">
        <v>6</v>
      </c>
      <c r="E32" s="2">
        <v>2.89</v>
      </c>
      <c r="F32" s="2">
        <f t="shared" si="1"/>
        <v>66.47</v>
      </c>
      <c r="G32" s="2" t="s">
        <v>55</v>
      </c>
      <c r="H32" s="32"/>
      <c r="I32" s="32"/>
    </row>
    <row r="33" spans="1:9" x14ac:dyDescent="0.3">
      <c r="A33" s="33"/>
      <c r="B33" s="5">
        <v>45889</v>
      </c>
      <c r="C33" s="35"/>
      <c r="D33" s="2" t="s">
        <v>45</v>
      </c>
      <c r="E33" s="2">
        <v>1.49</v>
      </c>
      <c r="F33" s="2">
        <f t="shared" si="1"/>
        <v>34.270000000000003</v>
      </c>
      <c r="G33" s="2" t="s">
        <v>55</v>
      </c>
      <c r="H33" s="32"/>
      <c r="I33" s="32"/>
    </row>
    <row r="34" spans="1:9" x14ac:dyDescent="0.3">
      <c r="A34" s="33"/>
      <c r="B34" s="5">
        <v>45889</v>
      </c>
      <c r="C34" s="35"/>
      <c r="D34" s="2" t="s">
        <v>46</v>
      </c>
      <c r="E34" s="2">
        <v>4.93</v>
      </c>
      <c r="F34" s="2">
        <f t="shared" si="1"/>
        <v>113.38999999999999</v>
      </c>
      <c r="G34" s="2" t="s">
        <v>56</v>
      </c>
      <c r="H34" s="32"/>
      <c r="I34" s="32"/>
    </row>
    <row r="35" spans="1:9" x14ac:dyDescent="0.3">
      <c r="A35" s="33"/>
      <c r="B35" s="5">
        <v>45889</v>
      </c>
      <c r="C35" s="35"/>
      <c r="D35" s="2" t="s">
        <v>14</v>
      </c>
      <c r="E35" s="2">
        <v>4.75</v>
      </c>
      <c r="F35" s="2">
        <f t="shared" si="1"/>
        <v>109.25</v>
      </c>
      <c r="G35" s="2" t="s">
        <v>53</v>
      </c>
      <c r="H35" s="32"/>
      <c r="I35" s="32"/>
    </row>
    <row r="36" spans="1:9" x14ac:dyDescent="0.3">
      <c r="A36" s="33"/>
      <c r="B36" s="5">
        <v>45889</v>
      </c>
      <c r="C36" s="35"/>
      <c r="D36" s="2" t="s">
        <v>102</v>
      </c>
      <c r="E36" s="2">
        <v>1.24</v>
      </c>
      <c r="F36" s="2">
        <f t="shared" si="1"/>
        <v>28.52</v>
      </c>
      <c r="G36" s="2" t="s">
        <v>53</v>
      </c>
      <c r="H36" s="31"/>
      <c r="I36" s="31"/>
    </row>
    <row r="37" spans="1:9" x14ac:dyDescent="0.3">
      <c r="A37" s="33"/>
      <c r="B37" s="4">
        <v>45890</v>
      </c>
      <c r="C37" s="35" t="s">
        <v>7</v>
      </c>
      <c r="D37" s="2" t="s">
        <v>67</v>
      </c>
      <c r="E37" s="2">
        <v>2.41</v>
      </c>
      <c r="F37" s="2">
        <f t="shared" si="1"/>
        <v>55.430000000000007</v>
      </c>
      <c r="G37" s="2" t="s">
        <v>56</v>
      </c>
      <c r="H37" s="36">
        <f>SUMIF(B:B,"21/8/2025",E:E)</f>
        <v>19.41</v>
      </c>
      <c r="I37" s="36">
        <f>H37*23</f>
        <v>446.43</v>
      </c>
    </row>
    <row r="38" spans="1:9" x14ac:dyDescent="0.3">
      <c r="A38" s="33"/>
      <c r="B38" s="4">
        <v>45890</v>
      </c>
      <c r="C38" s="35"/>
      <c r="D38" s="2" t="s">
        <v>9</v>
      </c>
      <c r="E38" s="2">
        <v>3</v>
      </c>
      <c r="F38" s="2">
        <f t="shared" si="1"/>
        <v>69</v>
      </c>
      <c r="G38" s="2" t="s">
        <v>57</v>
      </c>
      <c r="H38" s="36"/>
      <c r="I38" s="36"/>
    </row>
    <row r="39" spans="1:9" x14ac:dyDescent="0.3">
      <c r="A39" s="33"/>
      <c r="B39" s="4">
        <v>45890</v>
      </c>
      <c r="C39" s="15" t="s">
        <v>112</v>
      </c>
      <c r="D39" s="2" t="s">
        <v>58</v>
      </c>
      <c r="E39" s="2">
        <v>14</v>
      </c>
      <c r="F39" s="2">
        <f t="shared" si="1"/>
        <v>322</v>
      </c>
      <c r="G39" s="2" t="s">
        <v>47</v>
      </c>
      <c r="H39" s="36"/>
      <c r="I39" s="36"/>
    </row>
    <row r="40" spans="1:9" x14ac:dyDescent="0.3">
      <c r="A40" s="33"/>
      <c r="B40" s="5">
        <v>45891</v>
      </c>
      <c r="C40" s="14" t="s">
        <v>8</v>
      </c>
      <c r="D40" s="2" t="s">
        <v>59</v>
      </c>
      <c r="E40" s="2">
        <v>7.85</v>
      </c>
      <c r="F40" s="2">
        <f t="shared" si="1"/>
        <v>180.54999999999998</v>
      </c>
      <c r="G40" s="2" t="s">
        <v>55</v>
      </c>
      <c r="H40" s="36">
        <f>SUMIF(B:B,"22/8/2025",E:E)</f>
        <v>9.4499999999999993</v>
      </c>
      <c r="I40" s="36">
        <f>H40*23</f>
        <v>217.35</v>
      </c>
    </row>
    <row r="41" spans="1:9" x14ac:dyDescent="0.3">
      <c r="A41" s="33"/>
      <c r="B41" s="5">
        <v>45891</v>
      </c>
      <c r="C41" s="9" t="s">
        <v>7</v>
      </c>
      <c r="D41" s="2" t="s">
        <v>60</v>
      </c>
      <c r="E41" s="2">
        <v>1.6</v>
      </c>
      <c r="F41" s="2">
        <f t="shared" si="1"/>
        <v>36.800000000000004</v>
      </c>
      <c r="G41" s="2" t="s">
        <v>55</v>
      </c>
      <c r="H41" s="36"/>
      <c r="I41" s="36"/>
    </row>
    <row r="42" spans="1:9" x14ac:dyDescent="0.3">
      <c r="A42" s="34" t="s">
        <v>104</v>
      </c>
      <c r="B42" s="4">
        <v>45893</v>
      </c>
      <c r="C42" s="35" t="s">
        <v>7</v>
      </c>
      <c r="D42" s="2" t="s">
        <v>70</v>
      </c>
      <c r="E42" s="2">
        <v>5.8</v>
      </c>
      <c r="F42" s="2">
        <f t="shared" si="1"/>
        <v>133.4</v>
      </c>
      <c r="G42" s="2" t="s">
        <v>73</v>
      </c>
      <c r="H42" s="30">
        <f>SUMIF(B:B,"24/8/2025",E:E)</f>
        <v>14.170000000000002</v>
      </c>
      <c r="I42" s="30">
        <f>H42*23</f>
        <v>325.91000000000003</v>
      </c>
    </row>
    <row r="43" spans="1:9" x14ac:dyDescent="0.3">
      <c r="A43" s="34"/>
      <c r="B43" s="4">
        <v>45893</v>
      </c>
      <c r="C43" s="35"/>
      <c r="D43" s="2" t="s">
        <v>103</v>
      </c>
      <c r="E43" s="2">
        <v>4.82</v>
      </c>
      <c r="F43" s="2">
        <f t="shared" si="1"/>
        <v>110.86000000000001</v>
      </c>
      <c r="G43" s="2" t="s">
        <v>56</v>
      </c>
      <c r="H43" s="32"/>
      <c r="I43" s="32"/>
    </row>
    <row r="44" spans="1:9" x14ac:dyDescent="0.3">
      <c r="A44" s="34"/>
      <c r="B44" s="4">
        <v>45893</v>
      </c>
      <c r="C44" s="35"/>
      <c r="D44" s="2" t="s">
        <v>71</v>
      </c>
      <c r="E44" s="2">
        <v>1.35</v>
      </c>
      <c r="F44" s="2">
        <f t="shared" si="1"/>
        <v>31.05</v>
      </c>
      <c r="G44" s="2" t="s">
        <v>56</v>
      </c>
      <c r="H44" s="32"/>
      <c r="I44" s="32"/>
    </row>
    <row r="45" spans="1:9" x14ac:dyDescent="0.3">
      <c r="A45" s="34"/>
      <c r="B45" s="4">
        <v>45893</v>
      </c>
      <c r="C45" s="14" t="s">
        <v>8</v>
      </c>
      <c r="D45" s="6" t="s">
        <v>72</v>
      </c>
      <c r="E45" s="2">
        <v>2.2000000000000002</v>
      </c>
      <c r="F45" s="2">
        <f t="shared" si="1"/>
        <v>50.6</v>
      </c>
      <c r="G45" s="2" t="s">
        <v>74</v>
      </c>
      <c r="H45" s="31"/>
      <c r="I45" s="31"/>
    </row>
    <row r="46" spans="1:9" x14ac:dyDescent="0.3">
      <c r="A46" s="34"/>
      <c r="B46" s="5">
        <v>45894</v>
      </c>
      <c r="C46" s="37" t="s">
        <v>7</v>
      </c>
      <c r="D46" s="2" t="s">
        <v>41</v>
      </c>
      <c r="E46" s="2">
        <v>4.57</v>
      </c>
      <c r="F46" s="2">
        <f t="shared" si="1"/>
        <v>105.11000000000001</v>
      </c>
      <c r="G46" s="2" t="s">
        <v>52</v>
      </c>
      <c r="H46" s="30">
        <f>SUMIF(B:B,"25/8/2025",E:E)</f>
        <v>39.230000000000004</v>
      </c>
      <c r="I46" s="30">
        <f>H46*23</f>
        <v>902.29000000000008</v>
      </c>
    </row>
    <row r="47" spans="1:9" x14ac:dyDescent="0.3">
      <c r="A47" s="34"/>
      <c r="B47" s="5">
        <v>45894</v>
      </c>
      <c r="C47" s="38"/>
      <c r="D47" s="2" t="s">
        <v>75</v>
      </c>
      <c r="E47" s="2">
        <v>1.35</v>
      </c>
      <c r="F47" s="2">
        <f t="shared" si="1"/>
        <v>31.05</v>
      </c>
      <c r="G47" s="2" t="s">
        <v>52</v>
      </c>
      <c r="H47" s="32"/>
      <c r="I47" s="32"/>
    </row>
    <row r="48" spans="1:9" x14ac:dyDescent="0.3">
      <c r="A48" s="34"/>
      <c r="B48" s="5">
        <v>45894</v>
      </c>
      <c r="C48" s="38"/>
      <c r="D48" s="2" t="s">
        <v>76</v>
      </c>
      <c r="E48" s="2">
        <v>1.2</v>
      </c>
      <c r="F48" s="2">
        <f t="shared" si="1"/>
        <v>27.599999999999998</v>
      </c>
      <c r="G48" s="2" t="s">
        <v>52</v>
      </c>
      <c r="H48" s="32"/>
      <c r="I48" s="32"/>
    </row>
    <row r="49" spans="1:9" x14ac:dyDescent="0.3">
      <c r="A49" s="34"/>
      <c r="B49" s="5">
        <v>45894</v>
      </c>
      <c r="C49" s="38"/>
      <c r="D49" s="2" t="s">
        <v>77</v>
      </c>
      <c r="E49" s="2">
        <v>0.65</v>
      </c>
      <c r="F49" s="2">
        <f t="shared" si="1"/>
        <v>14.950000000000001</v>
      </c>
      <c r="G49" s="2" t="s">
        <v>52</v>
      </c>
      <c r="H49" s="32"/>
      <c r="I49" s="32"/>
    </row>
    <row r="50" spans="1:9" x14ac:dyDescent="0.3">
      <c r="A50" s="34"/>
      <c r="B50" s="5">
        <v>45894</v>
      </c>
      <c r="C50" s="38"/>
      <c r="D50" s="2" t="s">
        <v>64</v>
      </c>
      <c r="E50" s="2">
        <v>2.17</v>
      </c>
      <c r="F50" s="2">
        <f t="shared" si="1"/>
        <v>49.91</v>
      </c>
      <c r="G50" s="2" t="s">
        <v>52</v>
      </c>
      <c r="H50" s="32"/>
      <c r="I50" s="32"/>
    </row>
    <row r="51" spans="1:9" x14ac:dyDescent="0.3">
      <c r="A51" s="34"/>
      <c r="B51" s="5">
        <v>45894</v>
      </c>
      <c r="C51" s="38"/>
      <c r="D51" s="2" t="s">
        <v>78</v>
      </c>
      <c r="E51" s="2">
        <v>1.65</v>
      </c>
      <c r="F51" s="2">
        <f t="shared" si="1"/>
        <v>37.949999999999996</v>
      </c>
      <c r="G51" s="2" t="s">
        <v>52</v>
      </c>
      <c r="H51" s="32"/>
      <c r="I51" s="32"/>
    </row>
    <row r="52" spans="1:9" x14ac:dyDescent="0.3">
      <c r="A52" s="34"/>
      <c r="B52" s="5">
        <v>45894</v>
      </c>
      <c r="C52" s="38"/>
      <c r="D52" s="2" t="s">
        <v>79</v>
      </c>
      <c r="E52" s="2">
        <v>1</v>
      </c>
      <c r="F52" s="2">
        <f t="shared" si="1"/>
        <v>23</v>
      </c>
      <c r="G52" s="2" t="s">
        <v>52</v>
      </c>
      <c r="H52" s="32"/>
      <c r="I52" s="32"/>
    </row>
    <row r="53" spans="1:9" x14ac:dyDescent="0.3">
      <c r="A53" s="34"/>
      <c r="B53" s="5">
        <v>45894</v>
      </c>
      <c r="C53" s="38"/>
      <c r="D53" s="2" t="s">
        <v>80</v>
      </c>
      <c r="E53" s="2">
        <v>1</v>
      </c>
      <c r="F53" s="2">
        <f t="shared" si="1"/>
        <v>23</v>
      </c>
      <c r="G53" s="2" t="s">
        <v>52</v>
      </c>
      <c r="H53" s="32"/>
      <c r="I53" s="32"/>
    </row>
    <row r="54" spans="1:9" x14ac:dyDescent="0.3">
      <c r="A54" s="34"/>
      <c r="B54" s="5">
        <v>45894</v>
      </c>
      <c r="C54" s="38"/>
      <c r="D54" s="2" t="s">
        <v>81</v>
      </c>
      <c r="E54" s="2">
        <v>1.25</v>
      </c>
      <c r="F54" s="2">
        <f t="shared" si="1"/>
        <v>28.75</v>
      </c>
      <c r="G54" s="2" t="s">
        <v>52</v>
      </c>
      <c r="H54" s="32"/>
      <c r="I54" s="32"/>
    </row>
    <row r="55" spans="1:9" x14ac:dyDescent="0.3">
      <c r="A55" s="34"/>
      <c r="B55" s="5">
        <v>45894</v>
      </c>
      <c r="C55" s="38"/>
      <c r="D55" s="2" t="s">
        <v>82</v>
      </c>
      <c r="E55" s="2">
        <v>1.65</v>
      </c>
      <c r="F55" s="2">
        <f t="shared" si="1"/>
        <v>37.949999999999996</v>
      </c>
      <c r="G55" s="2" t="s">
        <v>52</v>
      </c>
      <c r="H55" s="32"/>
      <c r="I55" s="32"/>
    </row>
    <row r="56" spans="1:9" x14ac:dyDescent="0.3">
      <c r="A56" s="34"/>
      <c r="B56" s="5">
        <v>45894</v>
      </c>
      <c r="C56" s="38"/>
      <c r="D56" s="2" t="s">
        <v>83</v>
      </c>
      <c r="E56" s="2">
        <v>1.05</v>
      </c>
      <c r="F56" s="2">
        <f t="shared" si="1"/>
        <v>24.150000000000002</v>
      </c>
      <c r="G56" s="2" t="s">
        <v>52</v>
      </c>
      <c r="H56" s="32"/>
      <c r="I56" s="32"/>
    </row>
    <row r="57" spans="1:9" x14ac:dyDescent="0.3">
      <c r="A57" s="34"/>
      <c r="B57" s="5">
        <v>45894</v>
      </c>
      <c r="C57" s="38"/>
      <c r="D57" s="2" t="s">
        <v>84</v>
      </c>
      <c r="E57" s="2">
        <v>0.9</v>
      </c>
      <c r="F57" s="2">
        <f t="shared" si="1"/>
        <v>20.7</v>
      </c>
      <c r="G57" s="2" t="s">
        <v>52</v>
      </c>
      <c r="H57" s="32"/>
      <c r="I57" s="32"/>
    </row>
    <row r="58" spans="1:9" x14ac:dyDescent="0.3">
      <c r="A58" s="34"/>
      <c r="B58" s="5">
        <v>45894</v>
      </c>
      <c r="C58" s="38"/>
      <c r="D58" s="2" t="s">
        <v>85</v>
      </c>
      <c r="E58" s="2">
        <v>1.3</v>
      </c>
      <c r="F58" s="2">
        <f t="shared" si="1"/>
        <v>29.900000000000002</v>
      </c>
      <c r="G58" s="2" t="s">
        <v>52</v>
      </c>
      <c r="H58" s="32"/>
      <c r="I58" s="32"/>
    </row>
    <row r="59" spans="1:9" x14ac:dyDescent="0.3">
      <c r="A59" s="34"/>
      <c r="B59" s="5">
        <v>45894</v>
      </c>
      <c r="C59" s="38"/>
      <c r="D59" s="2" t="s">
        <v>86</v>
      </c>
      <c r="E59" s="2">
        <v>1.85</v>
      </c>
      <c r="F59" s="2">
        <f t="shared" si="1"/>
        <v>42.550000000000004</v>
      </c>
      <c r="G59" s="2" t="s">
        <v>52</v>
      </c>
      <c r="H59" s="32"/>
      <c r="I59" s="32"/>
    </row>
    <row r="60" spans="1:9" x14ac:dyDescent="0.3">
      <c r="A60" s="34"/>
      <c r="B60" s="5">
        <v>45894</v>
      </c>
      <c r="C60" s="38"/>
      <c r="D60" s="2" t="s">
        <v>87</v>
      </c>
      <c r="E60" s="2">
        <v>3</v>
      </c>
      <c r="F60" s="2">
        <f t="shared" si="1"/>
        <v>69</v>
      </c>
      <c r="G60" s="2" t="s">
        <v>52</v>
      </c>
      <c r="H60" s="32"/>
      <c r="I60" s="32"/>
    </row>
    <row r="61" spans="1:9" x14ac:dyDescent="0.3">
      <c r="A61" s="34"/>
      <c r="B61" s="5">
        <v>45894</v>
      </c>
      <c r="C61" s="38"/>
      <c r="D61" s="2" t="s">
        <v>63</v>
      </c>
      <c r="E61" s="2">
        <v>5.2</v>
      </c>
      <c r="F61" s="2">
        <f t="shared" si="1"/>
        <v>119.60000000000001</v>
      </c>
      <c r="G61" s="2" t="s">
        <v>52</v>
      </c>
      <c r="H61" s="32"/>
      <c r="I61" s="32"/>
    </row>
    <row r="62" spans="1:9" x14ac:dyDescent="0.3">
      <c r="A62" s="34"/>
      <c r="B62" s="5">
        <v>45894</v>
      </c>
      <c r="C62" s="38"/>
      <c r="D62" s="2" t="s">
        <v>45</v>
      </c>
      <c r="E62" s="2">
        <v>1.49</v>
      </c>
      <c r="F62" s="2">
        <f t="shared" si="1"/>
        <v>34.270000000000003</v>
      </c>
      <c r="G62" s="2" t="s">
        <v>55</v>
      </c>
      <c r="H62" s="32"/>
      <c r="I62" s="32"/>
    </row>
    <row r="63" spans="1:9" x14ac:dyDescent="0.3">
      <c r="A63" s="34"/>
      <c r="B63" s="5">
        <v>45894</v>
      </c>
      <c r="C63" s="39"/>
      <c r="D63" s="2" t="s">
        <v>90</v>
      </c>
      <c r="E63" s="2">
        <v>1.27</v>
      </c>
      <c r="F63" s="2">
        <f t="shared" si="1"/>
        <v>29.21</v>
      </c>
      <c r="G63" s="2" t="s">
        <v>55</v>
      </c>
      <c r="H63" s="32"/>
      <c r="I63" s="32"/>
    </row>
    <row r="64" spans="1:9" x14ac:dyDescent="0.3">
      <c r="A64" s="34"/>
      <c r="B64" s="5">
        <v>45894</v>
      </c>
      <c r="C64" s="40" t="s">
        <v>8</v>
      </c>
      <c r="D64" s="2" t="s">
        <v>88</v>
      </c>
      <c r="E64" s="2">
        <v>4.1900000000000004</v>
      </c>
      <c r="F64" s="2">
        <f t="shared" si="1"/>
        <v>96.37</v>
      </c>
      <c r="G64" s="2" t="s">
        <v>55</v>
      </c>
      <c r="H64" s="32"/>
      <c r="I64" s="32"/>
    </row>
    <row r="65" spans="1:9" x14ac:dyDescent="0.3">
      <c r="A65" s="34"/>
      <c r="B65" s="5">
        <v>45894</v>
      </c>
      <c r="C65" s="41"/>
      <c r="D65" s="2" t="s">
        <v>89</v>
      </c>
      <c r="E65" s="2">
        <v>2.4900000000000002</v>
      </c>
      <c r="F65" s="2">
        <f t="shared" si="1"/>
        <v>57.27</v>
      </c>
      <c r="G65" s="2" t="s">
        <v>55</v>
      </c>
      <c r="H65" s="31"/>
      <c r="I65" s="31"/>
    </row>
    <row r="66" spans="1:9" x14ac:dyDescent="0.3">
      <c r="A66" s="34"/>
      <c r="B66" s="4">
        <v>45895</v>
      </c>
      <c r="C66" s="35" t="s">
        <v>7</v>
      </c>
      <c r="D66" s="2" t="s">
        <v>92</v>
      </c>
      <c r="E66" s="2">
        <v>1.25</v>
      </c>
      <c r="F66" s="2">
        <f t="shared" si="1"/>
        <v>28.75</v>
      </c>
      <c r="G66" s="2" t="s">
        <v>52</v>
      </c>
      <c r="H66" s="30">
        <f>SUMIF(B:B,"26/8/2025",E:E)</f>
        <v>11.39</v>
      </c>
      <c r="I66" s="30">
        <f>H66*23</f>
        <v>261.97000000000003</v>
      </c>
    </row>
    <row r="67" spans="1:9" x14ac:dyDescent="0.3">
      <c r="A67" s="34"/>
      <c r="B67" s="4">
        <v>45895</v>
      </c>
      <c r="C67" s="35"/>
      <c r="D67" s="2" t="s">
        <v>42</v>
      </c>
      <c r="E67" s="2">
        <v>1</v>
      </c>
      <c r="F67" s="2">
        <f t="shared" si="1"/>
        <v>23</v>
      </c>
      <c r="G67" s="2" t="s">
        <v>52</v>
      </c>
      <c r="H67" s="32"/>
      <c r="I67" s="32"/>
    </row>
    <row r="68" spans="1:9" x14ac:dyDescent="0.3">
      <c r="A68" s="34"/>
      <c r="B68" s="4">
        <v>45895</v>
      </c>
      <c r="C68" s="35"/>
      <c r="D68" s="2" t="s">
        <v>43</v>
      </c>
      <c r="E68" s="2">
        <v>1</v>
      </c>
      <c r="F68" s="2">
        <f t="shared" si="1"/>
        <v>23</v>
      </c>
      <c r="G68" s="2" t="s">
        <v>52</v>
      </c>
      <c r="H68" s="32"/>
      <c r="I68" s="32"/>
    </row>
    <row r="69" spans="1:9" x14ac:dyDescent="0.3">
      <c r="A69" s="34"/>
      <c r="B69" s="4">
        <v>45895</v>
      </c>
      <c r="C69" s="35"/>
      <c r="D69" s="2" t="s">
        <v>69</v>
      </c>
      <c r="E69" s="2">
        <v>1.1499999999999999</v>
      </c>
      <c r="F69" s="2">
        <f t="shared" si="1"/>
        <v>26.45</v>
      </c>
      <c r="G69" s="2" t="s">
        <v>49</v>
      </c>
      <c r="H69" s="32"/>
      <c r="I69" s="32"/>
    </row>
    <row r="70" spans="1:9" x14ac:dyDescent="0.3">
      <c r="A70" s="34"/>
      <c r="B70" s="4">
        <v>45895</v>
      </c>
      <c r="C70" s="35"/>
      <c r="D70" s="2" t="s">
        <v>6</v>
      </c>
      <c r="E70" s="2">
        <v>2</v>
      </c>
      <c r="F70" s="2">
        <f t="shared" si="1"/>
        <v>46</v>
      </c>
      <c r="G70" s="2" t="s">
        <v>49</v>
      </c>
      <c r="H70" s="32"/>
      <c r="I70" s="32"/>
    </row>
    <row r="71" spans="1:9" x14ac:dyDescent="0.3">
      <c r="A71" s="34"/>
      <c r="B71" s="4">
        <v>45895</v>
      </c>
      <c r="C71" s="35"/>
      <c r="D71" s="2" t="s">
        <v>93</v>
      </c>
      <c r="E71" s="2">
        <v>4.99</v>
      </c>
      <c r="F71" s="2">
        <f t="shared" si="1"/>
        <v>114.77000000000001</v>
      </c>
      <c r="G71" s="2" t="s">
        <v>94</v>
      </c>
      <c r="H71" s="31"/>
      <c r="I71" s="31"/>
    </row>
    <row r="72" spans="1:9" x14ac:dyDescent="0.3">
      <c r="A72" s="34"/>
      <c r="B72" s="5">
        <v>45896</v>
      </c>
      <c r="C72" s="35" t="s">
        <v>7</v>
      </c>
      <c r="D72" s="2" t="s">
        <v>14</v>
      </c>
      <c r="E72" s="2">
        <v>4.75</v>
      </c>
      <c r="F72" s="2">
        <f t="shared" si="1"/>
        <v>109.25</v>
      </c>
      <c r="G72" s="2" t="s">
        <v>53</v>
      </c>
      <c r="H72" s="36">
        <f>SUMIF(B:B,"27/8/2025",E:E)</f>
        <v>9.7900000000000009</v>
      </c>
      <c r="I72" s="36">
        <f>H72*23</f>
        <v>225.17000000000002</v>
      </c>
    </row>
    <row r="73" spans="1:9" x14ac:dyDescent="0.3">
      <c r="A73" s="34"/>
      <c r="B73" s="5">
        <v>45896</v>
      </c>
      <c r="C73" s="35"/>
      <c r="D73" s="2" t="s">
        <v>102</v>
      </c>
      <c r="E73" s="2">
        <v>1.24</v>
      </c>
      <c r="F73" s="2">
        <f t="shared" si="1"/>
        <v>28.52</v>
      </c>
      <c r="G73" s="2" t="s">
        <v>53</v>
      </c>
      <c r="H73" s="36"/>
      <c r="I73" s="36"/>
    </row>
    <row r="74" spans="1:9" x14ac:dyDescent="0.3">
      <c r="A74" s="34"/>
      <c r="B74" s="5">
        <v>45896</v>
      </c>
      <c r="C74" s="35"/>
      <c r="D74" s="2" t="s">
        <v>96</v>
      </c>
      <c r="E74" s="2">
        <v>2.25</v>
      </c>
      <c r="F74" s="2">
        <f t="shared" si="1"/>
        <v>51.75</v>
      </c>
      <c r="G74" s="2" t="s">
        <v>53</v>
      </c>
      <c r="H74" s="36"/>
      <c r="I74" s="36"/>
    </row>
    <row r="75" spans="1:9" x14ac:dyDescent="0.3">
      <c r="A75" s="34"/>
      <c r="B75" s="5">
        <v>45896</v>
      </c>
      <c r="C75" s="35"/>
      <c r="D75" s="2" t="s">
        <v>97</v>
      </c>
      <c r="E75" s="2">
        <v>1.55</v>
      </c>
      <c r="F75" s="2">
        <f t="shared" si="1"/>
        <v>35.65</v>
      </c>
      <c r="G75" s="2" t="s">
        <v>53</v>
      </c>
      <c r="H75" s="36"/>
      <c r="I75" s="36"/>
    </row>
    <row r="76" spans="1:9" x14ac:dyDescent="0.3">
      <c r="A76" s="34"/>
      <c r="B76" s="4">
        <v>45897</v>
      </c>
      <c r="C76" s="9" t="s">
        <v>7</v>
      </c>
      <c r="D76" s="2" t="s">
        <v>98</v>
      </c>
      <c r="E76" s="2">
        <v>2.6</v>
      </c>
      <c r="F76" s="2">
        <f t="shared" si="1"/>
        <v>59.800000000000004</v>
      </c>
      <c r="G76" s="2" t="s">
        <v>49</v>
      </c>
      <c r="H76" s="30">
        <f>SUMIF(B:B,"28/8/2025",E:E)</f>
        <v>10.43</v>
      </c>
      <c r="I76" s="30">
        <f>H76*23</f>
        <v>239.89</v>
      </c>
    </row>
    <row r="77" spans="1:9" x14ac:dyDescent="0.3">
      <c r="A77" s="34"/>
      <c r="B77" s="4">
        <v>45897</v>
      </c>
      <c r="C77" s="15" t="s">
        <v>112</v>
      </c>
      <c r="D77" s="2" t="s">
        <v>111</v>
      </c>
      <c r="E77" s="2">
        <v>7.83</v>
      </c>
      <c r="F77" s="2">
        <f t="shared" si="1"/>
        <v>180.09</v>
      </c>
      <c r="G77" s="2" t="s">
        <v>113</v>
      </c>
      <c r="H77" s="31"/>
      <c r="I77" s="31"/>
    </row>
    <row r="78" spans="1:9" x14ac:dyDescent="0.3">
      <c r="A78" s="34"/>
      <c r="B78" s="5">
        <v>45898</v>
      </c>
      <c r="C78" s="35" t="s">
        <v>7</v>
      </c>
      <c r="D78" s="2" t="s">
        <v>99</v>
      </c>
      <c r="E78" s="2">
        <v>2.15</v>
      </c>
      <c r="F78" s="2">
        <f t="shared" si="1"/>
        <v>49.449999999999996</v>
      </c>
      <c r="G78" s="2" t="s">
        <v>74</v>
      </c>
      <c r="H78" s="30">
        <f>SUMIF(B:B,"29/8/2025",E:E)</f>
        <v>7.2799999999999994</v>
      </c>
      <c r="I78" s="30">
        <f>H78*23</f>
        <v>167.44</v>
      </c>
    </row>
    <row r="79" spans="1:9" x14ac:dyDescent="0.3">
      <c r="A79" s="34"/>
      <c r="B79" s="5">
        <v>45898</v>
      </c>
      <c r="C79" s="35"/>
      <c r="D79" s="2" t="s">
        <v>100</v>
      </c>
      <c r="E79" s="2">
        <v>3.19</v>
      </c>
      <c r="F79" s="2">
        <f t="shared" si="1"/>
        <v>73.37</v>
      </c>
      <c r="G79" s="2" t="s">
        <v>74</v>
      </c>
      <c r="H79" s="32"/>
      <c r="I79" s="32"/>
    </row>
    <row r="80" spans="1:9" x14ac:dyDescent="0.3">
      <c r="A80" s="34"/>
      <c r="B80" s="16">
        <v>45898</v>
      </c>
      <c r="C80" s="37"/>
      <c r="D80" s="17" t="s">
        <v>71</v>
      </c>
      <c r="E80" s="17">
        <v>1.94</v>
      </c>
      <c r="F80" s="17">
        <f t="shared" si="1"/>
        <v>44.62</v>
      </c>
      <c r="G80" s="17" t="s">
        <v>74</v>
      </c>
      <c r="H80" s="32"/>
      <c r="I80" s="32"/>
    </row>
    <row r="81" spans="1:9" x14ac:dyDescent="0.3">
      <c r="A81" s="43" t="s">
        <v>106</v>
      </c>
      <c r="B81" s="4">
        <v>45899</v>
      </c>
      <c r="C81" s="37" t="s">
        <v>7</v>
      </c>
      <c r="D81" s="2" t="s">
        <v>87</v>
      </c>
      <c r="E81" s="2">
        <v>2</v>
      </c>
      <c r="F81" s="2">
        <f t="shared" si="1"/>
        <v>46</v>
      </c>
      <c r="G81" s="2" t="s">
        <v>52</v>
      </c>
      <c r="H81" s="30">
        <f>SUMIF(B:B,"30/8/2025",E:E)</f>
        <v>24.390000000000004</v>
      </c>
      <c r="I81" s="30">
        <f>H81*23</f>
        <v>560.97000000000014</v>
      </c>
    </row>
    <row r="82" spans="1:9" x14ac:dyDescent="0.3">
      <c r="A82" s="33"/>
      <c r="B82" s="4">
        <v>45899</v>
      </c>
      <c r="C82" s="38"/>
      <c r="D82" s="2" t="s">
        <v>26</v>
      </c>
      <c r="E82" s="2">
        <v>1.45</v>
      </c>
      <c r="F82" s="2">
        <f t="shared" si="1"/>
        <v>33.35</v>
      </c>
      <c r="G82" s="2" t="s">
        <v>52</v>
      </c>
      <c r="H82" s="32"/>
      <c r="I82" s="32"/>
    </row>
    <row r="83" spans="1:9" x14ac:dyDescent="0.3">
      <c r="A83" s="33"/>
      <c r="B83" s="4">
        <v>45899</v>
      </c>
      <c r="C83" s="38"/>
      <c r="D83" s="2" t="s">
        <v>63</v>
      </c>
      <c r="E83" s="2">
        <v>5.2</v>
      </c>
      <c r="F83" s="2">
        <f t="shared" si="1"/>
        <v>119.60000000000001</v>
      </c>
      <c r="G83" s="2" t="s">
        <v>52</v>
      </c>
      <c r="H83" s="32"/>
      <c r="I83" s="32"/>
    </row>
    <row r="84" spans="1:9" x14ac:dyDescent="0.3">
      <c r="A84" s="33"/>
      <c r="B84" s="4">
        <v>45899</v>
      </c>
      <c r="C84" s="38"/>
      <c r="D84" s="2" t="s">
        <v>107</v>
      </c>
      <c r="E84" s="2">
        <v>2</v>
      </c>
      <c r="F84" s="2">
        <f t="shared" si="1"/>
        <v>46</v>
      </c>
      <c r="G84" s="2" t="s">
        <v>52</v>
      </c>
      <c r="H84" s="32"/>
      <c r="I84" s="32"/>
    </row>
    <row r="85" spans="1:9" x14ac:dyDescent="0.3">
      <c r="A85" s="33"/>
      <c r="B85" s="4">
        <v>45899</v>
      </c>
      <c r="C85" s="38"/>
      <c r="D85" s="2" t="s">
        <v>40</v>
      </c>
      <c r="E85" s="2">
        <v>9.0500000000000007</v>
      </c>
      <c r="F85" s="2">
        <f t="shared" si="1"/>
        <v>208.15</v>
      </c>
      <c r="G85" s="2" t="s">
        <v>52</v>
      </c>
      <c r="H85" s="32"/>
      <c r="I85" s="32"/>
    </row>
    <row r="86" spans="1:9" x14ac:dyDescent="0.3">
      <c r="A86" s="33"/>
      <c r="B86" s="4">
        <v>45899</v>
      </c>
      <c r="C86" s="38"/>
      <c r="D86" s="2" t="s">
        <v>43</v>
      </c>
      <c r="E86" s="2">
        <v>0.89</v>
      </c>
      <c r="F86" s="2">
        <f t="shared" si="1"/>
        <v>20.47</v>
      </c>
      <c r="G86" s="2" t="s">
        <v>52</v>
      </c>
      <c r="H86" s="32"/>
      <c r="I86" s="32"/>
    </row>
    <row r="87" spans="1:9" x14ac:dyDescent="0.3">
      <c r="A87" s="33"/>
      <c r="B87" s="4">
        <v>45899</v>
      </c>
      <c r="C87" s="39"/>
      <c r="D87" s="2" t="s">
        <v>115</v>
      </c>
      <c r="E87" s="2">
        <v>3.8</v>
      </c>
      <c r="F87" s="2">
        <f t="shared" si="1"/>
        <v>87.399999999999991</v>
      </c>
      <c r="G87" s="2" t="s">
        <v>116</v>
      </c>
      <c r="H87" s="31"/>
      <c r="I87" s="31"/>
    </row>
    <row r="88" spans="1:9" x14ac:dyDescent="0.3">
      <c r="A88" s="33"/>
      <c r="B88" s="5">
        <v>45900</v>
      </c>
      <c r="C88" s="37" t="s">
        <v>7</v>
      </c>
      <c r="D88" s="2" t="s">
        <v>23</v>
      </c>
      <c r="E88" s="2">
        <v>3.19</v>
      </c>
      <c r="F88" s="2">
        <f t="shared" si="1"/>
        <v>73.37</v>
      </c>
      <c r="G88" s="2" t="s">
        <v>49</v>
      </c>
      <c r="H88" s="30">
        <f>SUMIF(B:B,"31/8/2025",E:E)</f>
        <v>23.17</v>
      </c>
      <c r="I88" s="30">
        <f>H88*23</f>
        <v>532.91000000000008</v>
      </c>
    </row>
    <row r="89" spans="1:9" x14ac:dyDescent="0.3">
      <c r="A89" s="33"/>
      <c r="B89" s="5">
        <v>45900</v>
      </c>
      <c r="C89" s="38"/>
      <c r="D89" s="2" t="s">
        <v>108</v>
      </c>
      <c r="E89" s="2">
        <v>1.99</v>
      </c>
      <c r="F89" s="2">
        <f t="shared" si="1"/>
        <v>45.77</v>
      </c>
      <c r="G89" s="2" t="s">
        <v>49</v>
      </c>
      <c r="H89" s="32"/>
      <c r="I89" s="32"/>
    </row>
    <row r="90" spans="1:9" x14ac:dyDescent="0.3">
      <c r="A90" s="33"/>
      <c r="B90" s="5">
        <v>45900</v>
      </c>
      <c r="C90" s="39"/>
      <c r="D90" s="2" t="s">
        <v>110</v>
      </c>
      <c r="E90" s="2">
        <v>6</v>
      </c>
      <c r="F90" s="2">
        <f t="shared" si="1"/>
        <v>138</v>
      </c>
      <c r="G90" s="2" t="s">
        <v>114</v>
      </c>
      <c r="H90" s="32"/>
      <c r="I90" s="32"/>
    </row>
    <row r="91" spans="1:9" x14ac:dyDescent="0.3">
      <c r="A91" s="33"/>
      <c r="B91" s="5">
        <v>45900</v>
      </c>
      <c r="C91" s="14" t="s">
        <v>8</v>
      </c>
      <c r="D91" s="2" t="s">
        <v>109</v>
      </c>
      <c r="E91" s="2">
        <v>11.99</v>
      </c>
      <c r="F91" s="2">
        <f t="shared" si="1"/>
        <v>275.77</v>
      </c>
      <c r="G91" s="2" t="s">
        <v>117</v>
      </c>
      <c r="H91" s="31"/>
      <c r="I91" s="31"/>
    </row>
    <row r="92" spans="1:9" x14ac:dyDescent="0.3">
      <c r="A92" s="33"/>
      <c r="B92" s="4">
        <v>45901</v>
      </c>
      <c r="C92" s="37" t="s">
        <v>7</v>
      </c>
      <c r="D92" s="2" t="s">
        <v>6</v>
      </c>
      <c r="E92" s="2">
        <v>2</v>
      </c>
      <c r="F92" s="2">
        <f t="shared" si="1"/>
        <v>46</v>
      </c>
      <c r="G92" s="2" t="s">
        <v>49</v>
      </c>
      <c r="H92" s="30">
        <f>SUMIF(B:B,"01/09/2025",E:E)</f>
        <v>6.95</v>
      </c>
      <c r="I92" s="30">
        <f>H92*23</f>
        <v>159.85</v>
      </c>
    </row>
    <row r="93" spans="1:9" x14ac:dyDescent="0.3">
      <c r="A93" s="33"/>
      <c r="B93" s="4">
        <v>45901</v>
      </c>
      <c r="C93" s="39"/>
      <c r="D93" s="2" t="s">
        <v>118</v>
      </c>
      <c r="E93" s="2">
        <v>4.95</v>
      </c>
      <c r="F93" s="2">
        <f t="shared" si="1"/>
        <v>113.85000000000001</v>
      </c>
      <c r="G93" s="2" t="s">
        <v>94</v>
      </c>
      <c r="H93" s="31"/>
      <c r="I93" s="31"/>
    </row>
    <row r="94" spans="1:9" x14ac:dyDescent="0.3">
      <c r="A94" s="33"/>
      <c r="B94" s="5">
        <v>45902</v>
      </c>
      <c r="C94" s="35" t="s">
        <v>7</v>
      </c>
      <c r="D94" s="2" t="s">
        <v>119</v>
      </c>
      <c r="E94" s="2">
        <v>4.75</v>
      </c>
      <c r="F94" s="2">
        <f t="shared" si="1"/>
        <v>109.25</v>
      </c>
      <c r="G94" s="2" t="s">
        <v>53</v>
      </c>
      <c r="H94" s="36">
        <f>SUMIF(B:B,"02/09/2025",E:E)</f>
        <v>12.41</v>
      </c>
      <c r="I94" s="36">
        <f>H94*23</f>
        <v>285.43</v>
      </c>
    </row>
    <row r="95" spans="1:9" x14ac:dyDescent="0.3">
      <c r="A95" s="33"/>
      <c r="B95" s="5">
        <v>45902</v>
      </c>
      <c r="C95" s="35"/>
      <c r="D95" s="2" t="s">
        <v>30</v>
      </c>
      <c r="E95" s="2">
        <v>0.62</v>
      </c>
      <c r="F95" s="2">
        <f t="shared" si="1"/>
        <v>14.26</v>
      </c>
      <c r="G95" s="2" t="s">
        <v>53</v>
      </c>
      <c r="H95" s="36"/>
      <c r="I95" s="36"/>
    </row>
    <row r="96" spans="1:9" x14ac:dyDescent="0.3">
      <c r="A96" s="33"/>
      <c r="B96" s="5">
        <v>45902</v>
      </c>
      <c r="C96" s="35"/>
      <c r="D96" s="2" t="s">
        <v>15</v>
      </c>
      <c r="E96" s="2">
        <v>5.55</v>
      </c>
      <c r="F96" s="2">
        <f t="shared" si="1"/>
        <v>127.64999999999999</v>
      </c>
      <c r="G96" s="2" t="s">
        <v>55</v>
      </c>
      <c r="H96" s="36"/>
      <c r="I96" s="36"/>
    </row>
    <row r="97" spans="1:9" x14ac:dyDescent="0.3">
      <c r="A97" s="33"/>
      <c r="B97" s="5">
        <v>45902</v>
      </c>
      <c r="C97" s="35"/>
      <c r="D97" s="2" t="s">
        <v>45</v>
      </c>
      <c r="E97" s="2">
        <v>1.49</v>
      </c>
      <c r="F97" s="2">
        <f t="shared" si="1"/>
        <v>34.270000000000003</v>
      </c>
      <c r="G97" s="2" t="s">
        <v>55</v>
      </c>
      <c r="H97" s="36"/>
      <c r="I97" s="36"/>
    </row>
    <row r="98" spans="1:9" x14ac:dyDescent="0.3">
      <c r="A98" s="33"/>
      <c r="B98" s="4">
        <v>45904</v>
      </c>
      <c r="C98" s="35" t="s">
        <v>7</v>
      </c>
      <c r="D98" s="2" t="s">
        <v>99</v>
      </c>
      <c r="E98" s="2">
        <v>2.15</v>
      </c>
      <c r="F98" s="2">
        <f t="shared" si="1"/>
        <v>49.449999999999996</v>
      </c>
      <c r="G98" s="2" t="s">
        <v>74</v>
      </c>
      <c r="H98" s="30">
        <f>SUMIF(B:B,"04/09/2025",E:E)</f>
        <v>17.759999999999998</v>
      </c>
      <c r="I98" s="30">
        <f>H98*23</f>
        <v>408.47999999999996</v>
      </c>
    </row>
    <row r="99" spans="1:9" x14ac:dyDescent="0.3">
      <c r="A99" s="33"/>
      <c r="B99" s="4">
        <v>45904</v>
      </c>
      <c r="C99" s="35"/>
      <c r="D99" s="2" t="s">
        <v>120</v>
      </c>
      <c r="E99" s="2">
        <v>3.19</v>
      </c>
      <c r="F99" s="2">
        <f t="shared" si="1"/>
        <v>73.37</v>
      </c>
      <c r="G99" s="2" t="s">
        <v>74</v>
      </c>
      <c r="H99" s="32"/>
      <c r="I99" s="32"/>
    </row>
    <row r="100" spans="1:9" x14ac:dyDescent="0.3">
      <c r="A100" s="33"/>
      <c r="B100" s="4">
        <v>45904</v>
      </c>
      <c r="C100" s="35"/>
      <c r="D100" s="2" t="s">
        <v>65</v>
      </c>
      <c r="E100" s="2">
        <v>2.17</v>
      </c>
      <c r="F100" s="2">
        <f t="shared" si="1"/>
        <v>49.91</v>
      </c>
      <c r="G100" s="2" t="s">
        <v>74</v>
      </c>
      <c r="H100" s="32"/>
      <c r="I100" s="32"/>
    </row>
    <row r="101" spans="1:9" x14ac:dyDescent="0.3">
      <c r="A101" s="33"/>
      <c r="B101" s="19">
        <v>45904</v>
      </c>
      <c r="C101" s="37"/>
      <c r="D101" s="17" t="s">
        <v>46</v>
      </c>
      <c r="E101" s="17">
        <v>10.25</v>
      </c>
      <c r="F101" s="17">
        <f t="shared" si="1"/>
        <v>235.75</v>
      </c>
      <c r="G101" s="17" t="s">
        <v>74</v>
      </c>
      <c r="H101" s="32"/>
      <c r="I101" s="32"/>
    </row>
    <row r="102" spans="1:9" x14ac:dyDescent="0.3">
      <c r="A102" s="33"/>
      <c r="B102" s="5">
        <v>45905</v>
      </c>
      <c r="C102" s="37" t="s">
        <v>7</v>
      </c>
      <c r="D102" s="2" t="s">
        <v>19</v>
      </c>
      <c r="E102" s="2">
        <v>1.99</v>
      </c>
      <c r="F102" s="2">
        <f t="shared" si="1"/>
        <v>45.77</v>
      </c>
      <c r="G102" s="2" t="s">
        <v>49</v>
      </c>
      <c r="H102" s="30">
        <f>SUMIF(B:B,"05/09/2025",E:E)</f>
        <v>3.08</v>
      </c>
      <c r="I102" s="30">
        <f>H102*23</f>
        <v>70.84</v>
      </c>
    </row>
    <row r="103" spans="1:9" x14ac:dyDescent="0.3">
      <c r="A103" s="44"/>
      <c r="B103" s="5">
        <v>45905</v>
      </c>
      <c r="C103" s="39"/>
      <c r="D103" s="2" t="s">
        <v>71</v>
      </c>
      <c r="E103" s="2">
        <v>1.0900000000000001</v>
      </c>
      <c r="F103" s="2">
        <f t="shared" si="1"/>
        <v>25.07</v>
      </c>
      <c r="G103" s="2" t="s">
        <v>49</v>
      </c>
      <c r="H103" s="31"/>
      <c r="I103" s="31"/>
    </row>
    <row r="104" spans="1:9" x14ac:dyDescent="0.3">
      <c r="A104" s="45" t="s">
        <v>130</v>
      </c>
      <c r="B104" s="4">
        <v>45906</v>
      </c>
      <c r="C104" s="35" t="s">
        <v>7</v>
      </c>
      <c r="D104" s="2" t="s">
        <v>121</v>
      </c>
      <c r="E104" s="2">
        <v>1.1499999999999999</v>
      </c>
      <c r="F104" s="2">
        <f t="shared" ref="F104:F192" si="2">E104*23</f>
        <v>26.45</v>
      </c>
      <c r="G104" s="2" t="s">
        <v>52</v>
      </c>
      <c r="H104" s="30">
        <f>SUMIF(B:B,"06/09/2025",E:E)</f>
        <v>21.86</v>
      </c>
      <c r="I104" s="30">
        <f>H104*23</f>
        <v>502.78</v>
      </c>
    </row>
    <row r="105" spans="1:9" x14ac:dyDescent="0.3">
      <c r="A105" s="34"/>
      <c r="B105" s="4">
        <v>45906</v>
      </c>
      <c r="C105" s="35"/>
      <c r="D105" s="2" t="s">
        <v>87</v>
      </c>
      <c r="E105" s="2">
        <v>2</v>
      </c>
      <c r="F105" s="2">
        <f t="shared" si="2"/>
        <v>46</v>
      </c>
      <c r="G105" s="2" t="s">
        <v>52</v>
      </c>
      <c r="H105" s="32"/>
      <c r="I105" s="32"/>
    </row>
    <row r="106" spans="1:9" x14ac:dyDescent="0.3">
      <c r="A106" s="34"/>
      <c r="B106" s="4">
        <v>45906</v>
      </c>
      <c r="C106" s="35"/>
      <c r="D106" s="2" t="s">
        <v>26</v>
      </c>
      <c r="E106" s="2">
        <v>1.45</v>
      </c>
      <c r="F106" s="2">
        <f t="shared" si="2"/>
        <v>33.35</v>
      </c>
      <c r="G106" s="2" t="s">
        <v>52</v>
      </c>
      <c r="H106" s="32"/>
      <c r="I106" s="32"/>
    </row>
    <row r="107" spans="1:9" x14ac:dyDescent="0.3">
      <c r="A107" s="34"/>
      <c r="B107" s="4">
        <v>45906</v>
      </c>
      <c r="C107" s="35"/>
      <c r="D107" s="2" t="s">
        <v>43</v>
      </c>
      <c r="E107" s="2">
        <v>0.99</v>
      </c>
      <c r="F107" s="2">
        <f t="shared" si="2"/>
        <v>22.77</v>
      </c>
      <c r="G107" s="2" t="s">
        <v>52</v>
      </c>
      <c r="H107" s="32"/>
      <c r="I107" s="32"/>
    </row>
    <row r="108" spans="1:9" x14ac:dyDescent="0.3">
      <c r="A108" s="34"/>
      <c r="B108" s="4">
        <v>45906</v>
      </c>
      <c r="C108" s="35"/>
      <c r="D108" s="2" t="s">
        <v>31</v>
      </c>
      <c r="E108" s="2">
        <v>3</v>
      </c>
      <c r="F108" s="2">
        <f t="shared" si="2"/>
        <v>69</v>
      </c>
      <c r="G108" s="2" t="s">
        <v>122</v>
      </c>
      <c r="H108" s="32"/>
      <c r="I108" s="32"/>
    </row>
    <row r="109" spans="1:9" x14ac:dyDescent="0.3">
      <c r="A109" s="34"/>
      <c r="B109" s="4">
        <v>45906</v>
      </c>
      <c r="C109" s="35"/>
      <c r="D109" s="2" t="s">
        <v>123</v>
      </c>
      <c r="E109" s="2">
        <v>2.65</v>
      </c>
      <c r="F109" s="2">
        <f t="shared" si="2"/>
        <v>60.949999999999996</v>
      </c>
      <c r="G109" s="2" t="s">
        <v>55</v>
      </c>
      <c r="H109" s="32"/>
      <c r="I109" s="32"/>
    </row>
    <row r="110" spans="1:9" x14ac:dyDescent="0.3">
      <c r="A110" s="34"/>
      <c r="B110" s="4">
        <v>45906</v>
      </c>
      <c r="C110" s="35"/>
      <c r="D110" s="2" t="s">
        <v>9</v>
      </c>
      <c r="E110" s="2">
        <v>2.79</v>
      </c>
      <c r="F110" s="2">
        <f t="shared" si="2"/>
        <v>64.17</v>
      </c>
      <c r="G110" s="2" t="s">
        <v>55</v>
      </c>
      <c r="H110" s="32"/>
      <c r="I110" s="32"/>
    </row>
    <row r="111" spans="1:9" x14ac:dyDescent="0.3">
      <c r="A111" s="34"/>
      <c r="B111" s="4">
        <v>45906</v>
      </c>
      <c r="C111" s="35"/>
      <c r="D111" s="2" t="s">
        <v>124</v>
      </c>
      <c r="E111" s="2">
        <v>2.75</v>
      </c>
      <c r="F111" s="2">
        <f t="shared" si="2"/>
        <v>63.25</v>
      </c>
      <c r="G111" s="2" t="s">
        <v>55</v>
      </c>
      <c r="H111" s="32"/>
      <c r="I111" s="32"/>
    </row>
    <row r="112" spans="1:9" x14ac:dyDescent="0.3">
      <c r="A112" s="34"/>
      <c r="B112" s="4">
        <v>45906</v>
      </c>
      <c r="C112" s="35"/>
      <c r="D112" s="2" t="s">
        <v>45</v>
      </c>
      <c r="E112" s="2">
        <v>1.49</v>
      </c>
      <c r="F112" s="2">
        <f t="shared" si="2"/>
        <v>34.270000000000003</v>
      </c>
      <c r="G112" s="2" t="s">
        <v>55</v>
      </c>
      <c r="H112" s="32"/>
      <c r="I112" s="32"/>
    </row>
    <row r="113" spans="1:9" x14ac:dyDescent="0.3">
      <c r="A113" s="34"/>
      <c r="B113" s="4">
        <v>45906</v>
      </c>
      <c r="C113" s="14" t="s">
        <v>8</v>
      </c>
      <c r="D113" s="2" t="s">
        <v>125</v>
      </c>
      <c r="E113" s="2">
        <v>3.59</v>
      </c>
      <c r="F113" s="2">
        <f t="shared" si="2"/>
        <v>82.57</v>
      </c>
      <c r="G113" s="2" t="s">
        <v>55</v>
      </c>
      <c r="H113" s="31"/>
      <c r="I113" s="31"/>
    </row>
    <row r="114" spans="1:9" x14ac:dyDescent="0.3">
      <c r="A114" s="34"/>
      <c r="B114" s="5">
        <v>45907</v>
      </c>
      <c r="C114" s="35" t="s">
        <v>7</v>
      </c>
      <c r="D114" s="2" t="s">
        <v>44</v>
      </c>
      <c r="E114" s="2">
        <v>4.49</v>
      </c>
      <c r="F114" s="2">
        <f t="shared" si="2"/>
        <v>103.27000000000001</v>
      </c>
      <c r="G114" s="2" t="s">
        <v>49</v>
      </c>
      <c r="H114" s="36">
        <f>SUMIF(B:B,"07/09/2025",E:E)</f>
        <v>7.18</v>
      </c>
      <c r="I114" s="36">
        <f>H114*23</f>
        <v>165.14</v>
      </c>
    </row>
    <row r="115" spans="1:9" x14ac:dyDescent="0.3">
      <c r="A115" s="34"/>
      <c r="B115" s="5">
        <v>45907</v>
      </c>
      <c r="C115" s="35"/>
      <c r="D115" s="2" t="s">
        <v>126</v>
      </c>
      <c r="E115" s="2">
        <v>2.69</v>
      </c>
      <c r="F115" s="2">
        <f t="shared" si="2"/>
        <v>61.87</v>
      </c>
      <c r="G115" s="2" t="s">
        <v>49</v>
      </c>
      <c r="H115" s="36"/>
      <c r="I115" s="36"/>
    </row>
    <row r="116" spans="1:9" x14ac:dyDescent="0.3">
      <c r="A116" s="34"/>
      <c r="B116" s="4">
        <v>45908</v>
      </c>
      <c r="C116" s="37" t="s">
        <v>7</v>
      </c>
      <c r="D116" s="2" t="s">
        <v>41</v>
      </c>
      <c r="E116" s="2">
        <v>4.97</v>
      </c>
      <c r="F116" s="2">
        <f t="shared" si="2"/>
        <v>114.30999999999999</v>
      </c>
      <c r="G116" s="2" t="s">
        <v>52</v>
      </c>
      <c r="H116" s="30">
        <f>SUMIF(B:B,"08/09/2025",E:E)</f>
        <v>27.389999999999997</v>
      </c>
      <c r="I116" s="30">
        <f>H116*23</f>
        <v>629.96999999999991</v>
      </c>
    </row>
    <row r="117" spans="1:9" x14ac:dyDescent="0.3">
      <c r="A117" s="34"/>
      <c r="B117" s="4">
        <v>45908</v>
      </c>
      <c r="C117" s="38"/>
      <c r="D117" s="2" t="s">
        <v>127</v>
      </c>
      <c r="E117" s="2">
        <v>13</v>
      </c>
      <c r="F117" s="2">
        <f t="shared" si="2"/>
        <v>299</v>
      </c>
      <c r="G117" s="2" t="s">
        <v>52</v>
      </c>
      <c r="H117" s="32"/>
      <c r="I117" s="32"/>
    </row>
    <row r="118" spans="1:9" x14ac:dyDescent="0.3">
      <c r="A118" s="34"/>
      <c r="B118" s="4">
        <v>45908</v>
      </c>
      <c r="C118" s="38"/>
      <c r="D118" s="2" t="s">
        <v>128</v>
      </c>
      <c r="E118" s="2">
        <v>1</v>
      </c>
      <c r="F118" s="2">
        <f t="shared" si="2"/>
        <v>23</v>
      </c>
      <c r="G118" s="2" t="s">
        <v>52</v>
      </c>
      <c r="H118" s="32"/>
      <c r="I118" s="32"/>
    </row>
    <row r="119" spans="1:9" x14ac:dyDescent="0.3">
      <c r="A119" s="34"/>
      <c r="B119" s="4">
        <v>45908</v>
      </c>
      <c r="C119" s="38"/>
      <c r="D119" s="2" t="s">
        <v>14</v>
      </c>
      <c r="E119" s="2">
        <v>4.75</v>
      </c>
      <c r="F119" s="2">
        <f t="shared" si="2"/>
        <v>109.25</v>
      </c>
      <c r="G119" s="2" t="s">
        <v>53</v>
      </c>
      <c r="H119" s="32"/>
      <c r="I119" s="32"/>
    </row>
    <row r="120" spans="1:9" x14ac:dyDescent="0.3">
      <c r="A120" s="34"/>
      <c r="B120" s="4">
        <v>45908</v>
      </c>
      <c r="C120" s="38"/>
      <c r="D120" s="2" t="s">
        <v>102</v>
      </c>
      <c r="E120" s="2">
        <v>1.24</v>
      </c>
      <c r="F120" s="2">
        <f t="shared" si="2"/>
        <v>28.52</v>
      </c>
      <c r="G120" s="2" t="s">
        <v>53</v>
      </c>
      <c r="H120" s="32"/>
      <c r="I120" s="32"/>
    </row>
    <row r="121" spans="1:9" x14ac:dyDescent="0.3">
      <c r="A121" s="34"/>
      <c r="B121" s="4">
        <v>45908</v>
      </c>
      <c r="C121" s="38"/>
      <c r="D121" s="2" t="s">
        <v>129</v>
      </c>
      <c r="E121" s="2">
        <v>0.88</v>
      </c>
      <c r="F121" s="2">
        <f t="shared" si="2"/>
        <v>20.239999999999998</v>
      </c>
      <c r="G121" s="2" t="s">
        <v>53</v>
      </c>
      <c r="H121" s="32"/>
      <c r="I121" s="32"/>
    </row>
    <row r="122" spans="1:9" x14ac:dyDescent="0.3">
      <c r="A122" s="34"/>
      <c r="B122" s="4">
        <v>45908</v>
      </c>
      <c r="C122" s="39"/>
      <c r="D122" s="2" t="s">
        <v>64</v>
      </c>
      <c r="E122" s="2">
        <v>1.55</v>
      </c>
      <c r="F122" s="2">
        <f t="shared" si="2"/>
        <v>35.65</v>
      </c>
      <c r="G122" s="2" t="s">
        <v>53</v>
      </c>
      <c r="H122" s="31"/>
      <c r="I122" s="31"/>
    </row>
    <row r="123" spans="1:9" x14ac:dyDescent="0.3">
      <c r="A123" s="34"/>
      <c r="B123" s="5">
        <v>45909</v>
      </c>
      <c r="C123" s="37" t="s">
        <v>7</v>
      </c>
      <c r="D123" s="2" t="s">
        <v>19</v>
      </c>
      <c r="E123" s="2">
        <v>1.99</v>
      </c>
      <c r="F123" s="2">
        <f t="shared" si="2"/>
        <v>45.77</v>
      </c>
      <c r="G123" s="2" t="s">
        <v>55</v>
      </c>
      <c r="H123" s="30">
        <f>SUMIF(B:B,"09/09/2025",E:E)</f>
        <v>10.19</v>
      </c>
      <c r="I123" s="30">
        <f>H123*23</f>
        <v>234.36999999999998</v>
      </c>
    </row>
    <row r="124" spans="1:9" x14ac:dyDescent="0.3">
      <c r="A124" s="34"/>
      <c r="B124" s="16">
        <v>45909</v>
      </c>
      <c r="C124" s="38"/>
      <c r="D124" s="17" t="s">
        <v>131</v>
      </c>
      <c r="E124" s="17">
        <v>8.1999999999999993</v>
      </c>
      <c r="F124" s="17">
        <f t="shared" si="2"/>
        <v>188.6</v>
      </c>
      <c r="G124" s="17" t="s">
        <v>132</v>
      </c>
      <c r="H124" s="32"/>
      <c r="I124" s="32"/>
    </row>
    <row r="125" spans="1:9" x14ac:dyDescent="0.3">
      <c r="A125" s="34"/>
      <c r="B125" s="4">
        <v>45910</v>
      </c>
      <c r="C125" s="37" t="s">
        <v>7</v>
      </c>
      <c r="D125" s="2" t="s">
        <v>133</v>
      </c>
      <c r="E125" s="2">
        <v>2.5</v>
      </c>
      <c r="F125" s="2">
        <f t="shared" si="2"/>
        <v>57.5</v>
      </c>
      <c r="G125" s="2" t="s">
        <v>74</v>
      </c>
      <c r="H125" s="30">
        <f>SUMIF(B:B,"10/09/2025",E:E)</f>
        <v>7.7</v>
      </c>
      <c r="I125" s="30">
        <f>H125*23</f>
        <v>177.1</v>
      </c>
    </row>
    <row r="126" spans="1:9" x14ac:dyDescent="0.3">
      <c r="A126" s="34"/>
      <c r="B126" s="4">
        <v>45910</v>
      </c>
      <c r="C126" s="39"/>
      <c r="D126" s="2" t="s">
        <v>15</v>
      </c>
      <c r="E126" s="2">
        <v>5.2</v>
      </c>
      <c r="F126" s="2">
        <f t="shared" si="2"/>
        <v>119.60000000000001</v>
      </c>
      <c r="G126" s="2" t="s">
        <v>74</v>
      </c>
      <c r="H126" s="31"/>
      <c r="I126" s="31"/>
    </row>
    <row r="127" spans="1:9" x14ac:dyDescent="0.3">
      <c r="A127" s="46"/>
      <c r="B127" s="5">
        <v>45911</v>
      </c>
      <c r="C127" s="9" t="s">
        <v>7</v>
      </c>
      <c r="D127" s="2" t="s">
        <v>6</v>
      </c>
      <c r="E127" s="2">
        <v>2</v>
      </c>
      <c r="F127" s="2">
        <f t="shared" si="2"/>
        <v>46</v>
      </c>
      <c r="G127" s="2" t="s">
        <v>49</v>
      </c>
      <c r="H127" s="18">
        <f>SUMIF(B:B,"11/09/2025",E:E)</f>
        <v>2</v>
      </c>
      <c r="I127" s="18">
        <f>H127*23</f>
        <v>46</v>
      </c>
    </row>
    <row r="128" spans="1:9" x14ac:dyDescent="0.3">
      <c r="A128" s="43" t="s">
        <v>142</v>
      </c>
      <c r="B128" s="4">
        <v>45913</v>
      </c>
      <c r="C128" s="37" t="s">
        <v>7</v>
      </c>
      <c r="D128" s="2" t="s">
        <v>134</v>
      </c>
      <c r="E128" s="2">
        <v>7.45</v>
      </c>
      <c r="F128" s="2">
        <f t="shared" si="2"/>
        <v>171.35</v>
      </c>
      <c r="G128" s="2" t="s">
        <v>74</v>
      </c>
      <c r="H128" s="30">
        <f>SUMIF(B:B,"13/09/2025",E:E)</f>
        <v>7.98</v>
      </c>
      <c r="I128" s="30">
        <f>H128*23</f>
        <v>183.54000000000002</v>
      </c>
    </row>
    <row r="129" spans="1:9" x14ac:dyDescent="0.3">
      <c r="A129" s="33"/>
      <c r="B129" s="4">
        <v>45913</v>
      </c>
      <c r="C129" s="39"/>
      <c r="D129" s="2" t="s">
        <v>43</v>
      </c>
      <c r="E129" s="2">
        <v>0.53</v>
      </c>
      <c r="F129" s="2">
        <f t="shared" si="2"/>
        <v>12.190000000000001</v>
      </c>
      <c r="G129" s="2" t="s">
        <v>74</v>
      </c>
      <c r="H129" s="31"/>
      <c r="I129" s="31"/>
    </row>
    <row r="130" spans="1:9" x14ac:dyDescent="0.3">
      <c r="A130" s="33"/>
      <c r="B130" s="5">
        <v>45914</v>
      </c>
      <c r="C130" s="37" t="s">
        <v>7</v>
      </c>
      <c r="D130" s="2" t="s">
        <v>14</v>
      </c>
      <c r="E130" s="2">
        <v>4.75</v>
      </c>
      <c r="F130" s="2">
        <f t="shared" si="2"/>
        <v>109.25</v>
      </c>
      <c r="G130" s="2" t="s">
        <v>53</v>
      </c>
      <c r="H130" s="30">
        <f>SUMIF(B:B,"14/09/2025",E:E)</f>
        <v>8.56</v>
      </c>
      <c r="I130" s="30">
        <f>H130*23</f>
        <v>196.88000000000002</v>
      </c>
    </row>
    <row r="131" spans="1:9" x14ac:dyDescent="0.3">
      <c r="A131" s="33"/>
      <c r="B131" s="5">
        <v>45914</v>
      </c>
      <c r="C131" s="38"/>
      <c r="D131" s="2" t="s">
        <v>30</v>
      </c>
      <c r="E131" s="2">
        <v>0.62</v>
      </c>
      <c r="F131" s="2">
        <f t="shared" si="2"/>
        <v>14.26</v>
      </c>
      <c r="G131" s="2" t="s">
        <v>53</v>
      </c>
      <c r="H131" s="32"/>
      <c r="I131" s="32"/>
    </row>
    <row r="132" spans="1:9" x14ac:dyDescent="0.3">
      <c r="A132" s="33"/>
      <c r="B132" s="5">
        <v>45914</v>
      </c>
      <c r="C132" s="39"/>
      <c r="D132" s="2" t="s">
        <v>23</v>
      </c>
      <c r="E132" s="2">
        <v>3.19</v>
      </c>
      <c r="F132" s="2">
        <f t="shared" si="2"/>
        <v>73.37</v>
      </c>
      <c r="G132" s="2" t="s">
        <v>49</v>
      </c>
      <c r="H132" s="31"/>
      <c r="I132" s="31"/>
    </row>
    <row r="133" spans="1:9" x14ac:dyDescent="0.3">
      <c r="A133" s="33"/>
      <c r="B133" s="4">
        <v>45915</v>
      </c>
      <c r="C133" s="37" t="s">
        <v>7</v>
      </c>
      <c r="D133" s="2" t="s">
        <v>19</v>
      </c>
      <c r="E133" s="2">
        <v>1.99</v>
      </c>
      <c r="F133" s="2">
        <f t="shared" si="2"/>
        <v>45.77</v>
      </c>
      <c r="G133" s="2" t="s">
        <v>49</v>
      </c>
      <c r="H133" s="30">
        <f>SUMIF(B:B,"15/09/2025",E:E)</f>
        <v>37.82</v>
      </c>
      <c r="I133" s="30">
        <f>H133*23</f>
        <v>869.86</v>
      </c>
    </row>
    <row r="134" spans="1:9" x14ac:dyDescent="0.3">
      <c r="A134" s="33"/>
      <c r="B134" s="4">
        <v>45915</v>
      </c>
      <c r="C134" s="38"/>
      <c r="D134" s="2" t="s">
        <v>9</v>
      </c>
      <c r="E134" s="2">
        <v>2.95</v>
      </c>
      <c r="F134" s="2">
        <f t="shared" si="2"/>
        <v>67.850000000000009</v>
      </c>
      <c r="G134" s="2" t="s">
        <v>49</v>
      </c>
      <c r="H134" s="32"/>
      <c r="I134" s="32"/>
    </row>
    <row r="135" spans="1:9" x14ac:dyDescent="0.3">
      <c r="A135" s="33"/>
      <c r="B135" s="4">
        <v>45915</v>
      </c>
      <c r="C135" s="38"/>
      <c r="D135" s="2" t="s">
        <v>121</v>
      </c>
      <c r="E135" s="2">
        <v>1.1499999999999999</v>
      </c>
      <c r="F135" s="2">
        <f t="shared" si="2"/>
        <v>26.45</v>
      </c>
      <c r="G135" s="2" t="s">
        <v>52</v>
      </c>
      <c r="H135" s="32"/>
      <c r="I135" s="32"/>
    </row>
    <row r="136" spans="1:9" x14ac:dyDescent="0.3">
      <c r="A136" s="33"/>
      <c r="B136" s="4">
        <v>45915</v>
      </c>
      <c r="C136" s="38"/>
      <c r="D136" s="2" t="s">
        <v>77</v>
      </c>
      <c r="E136" s="2">
        <v>0.65</v>
      </c>
      <c r="F136" s="2">
        <f t="shared" si="2"/>
        <v>14.950000000000001</v>
      </c>
      <c r="G136" s="2" t="s">
        <v>52</v>
      </c>
      <c r="H136" s="32"/>
      <c r="I136" s="32"/>
    </row>
    <row r="137" spans="1:9" x14ac:dyDescent="0.3">
      <c r="A137" s="33"/>
      <c r="B137" s="4">
        <v>45915</v>
      </c>
      <c r="C137" s="38"/>
      <c r="D137" s="2" t="s">
        <v>40</v>
      </c>
      <c r="E137" s="2">
        <v>10.78</v>
      </c>
      <c r="F137" s="2">
        <f t="shared" si="2"/>
        <v>247.94</v>
      </c>
      <c r="G137" s="2" t="s">
        <v>52</v>
      </c>
      <c r="H137" s="32"/>
      <c r="I137" s="32"/>
    </row>
    <row r="138" spans="1:9" x14ac:dyDescent="0.3">
      <c r="A138" s="33"/>
      <c r="B138" s="4">
        <v>45915</v>
      </c>
      <c r="C138" s="38"/>
      <c r="D138" s="2" t="s">
        <v>63</v>
      </c>
      <c r="E138" s="2">
        <v>5.2</v>
      </c>
      <c r="F138" s="2">
        <f t="shared" si="2"/>
        <v>119.60000000000001</v>
      </c>
      <c r="G138" s="2" t="s">
        <v>52</v>
      </c>
      <c r="H138" s="32"/>
      <c r="I138" s="32"/>
    </row>
    <row r="139" spans="1:9" x14ac:dyDescent="0.3">
      <c r="A139" s="33"/>
      <c r="B139" s="4">
        <v>45915</v>
      </c>
      <c r="C139" s="38"/>
      <c r="D139" s="2" t="s">
        <v>87</v>
      </c>
      <c r="E139" s="2">
        <v>2</v>
      </c>
      <c r="F139" s="2">
        <f t="shared" si="2"/>
        <v>46</v>
      </c>
      <c r="G139" s="2" t="s">
        <v>52</v>
      </c>
      <c r="H139" s="32"/>
      <c r="I139" s="32"/>
    </row>
    <row r="140" spans="1:9" x14ac:dyDescent="0.3">
      <c r="A140" s="33"/>
      <c r="B140" s="4">
        <v>45915</v>
      </c>
      <c r="C140" s="38"/>
      <c r="D140" s="2" t="s">
        <v>26</v>
      </c>
      <c r="E140" s="2">
        <v>1.45</v>
      </c>
      <c r="F140" s="2">
        <f t="shared" si="2"/>
        <v>33.35</v>
      </c>
      <c r="G140" s="2" t="s">
        <v>52</v>
      </c>
      <c r="H140" s="32"/>
      <c r="I140" s="32"/>
    </row>
    <row r="141" spans="1:9" x14ac:dyDescent="0.3">
      <c r="A141" s="33"/>
      <c r="B141" s="4">
        <v>45915</v>
      </c>
      <c r="C141" s="38"/>
      <c r="D141" s="2" t="s">
        <v>43</v>
      </c>
      <c r="E141" s="2">
        <v>0.85</v>
      </c>
      <c r="F141" s="2">
        <f t="shared" si="2"/>
        <v>19.55</v>
      </c>
      <c r="G141" s="2" t="s">
        <v>52</v>
      </c>
      <c r="H141" s="32"/>
      <c r="I141" s="32"/>
    </row>
    <row r="142" spans="1:9" x14ac:dyDescent="0.3">
      <c r="A142" s="33"/>
      <c r="B142" s="4">
        <v>45915</v>
      </c>
      <c r="C142" s="38"/>
      <c r="D142" s="2" t="s">
        <v>29</v>
      </c>
      <c r="E142" s="2">
        <v>1.3</v>
      </c>
      <c r="F142" s="2">
        <f t="shared" si="2"/>
        <v>29.900000000000002</v>
      </c>
      <c r="G142" s="2" t="s">
        <v>74</v>
      </c>
      <c r="H142" s="32"/>
      <c r="I142" s="32"/>
    </row>
    <row r="143" spans="1:9" x14ac:dyDescent="0.3">
      <c r="A143" s="33"/>
      <c r="B143" s="4">
        <v>45915</v>
      </c>
      <c r="C143" s="39"/>
      <c r="D143" s="2" t="s">
        <v>135</v>
      </c>
      <c r="E143" s="2">
        <v>9.5</v>
      </c>
      <c r="F143" s="2">
        <f t="shared" si="2"/>
        <v>218.5</v>
      </c>
      <c r="G143" s="2" t="s">
        <v>74</v>
      </c>
      <c r="H143" s="31"/>
      <c r="I143" s="31"/>
    </row>
    <row r="144" spans="1:9" x14ac:dyDescent="0.3">
      <c r="A144" s="33"/>
      <c r="B144" s="5">
        <v>45916</v>
      </c>
      <c r="C144" s="47" t="s">
        <v>138</v>
      </c>
      <c r="D144" s="2" t="s">
        <v>137</v>
      </c>
      <c r="E144" s="2">
        <v>90</v>
      </c>
      <c r="F144" s="2">
        <f t="shared" si="2"/>
        <v>2070</v>
      </c>
      <c r="G144" s="2" t="s">
        <v>141</v>
      </c>
      <c r="H144" s="30">
        <f>SUMIF(B:B,"16/09/2025",E:E)</f>
        <v>103.80000000000001</v>
      </c>
      <c r="I144" s="30">
        <f>H144*23</f>
        <v>2387.4</v>
      </c>
    </row>
    <row r="145" spans="1:9" x14ac:dyDescent="0.3">
      <c r="A145" s="33"/>
      <c r="B145" s="5">
        <v>45916</v>
      </c>
      <c r="C145" s="48"/>
      <c r="D145" s="2" t="s">
        <v>136</v>
      </c>
      <c r="E145" s="2">
        <v>8.9</v>
      </c>
      <c r="F145" s="2">
        <f t="shared" si="2"/>
        <v>204.70000000000002</v>
      </c>
      <c r="G145" s="2" t="s">
        <v>140</v>
      </c>
      <c r="H145" s="32"/>
      <c r="I145" s="32"/>
    </row>
    <row r="146" spans="1:9" x14ac:dyDescent="0.3">
      <c r="A146" s="33"/>
      <c r="B146" s="5">
        <v>45916</v>
      </c>
      <c r="C146" s="49"/>
      <c r="D146" s="2" t="s">
        <v>139</v>
      </c>
      <c r="E146" s="2">
        <v>4.9000000000000004</v>
      </c>
      <c r="F146" s="2">
        <f t="shared" si="2"/>
        <v>112.7</v>
      </c>
      <c r="G146" s="2" t="s">
        <v>140</v>
      </c>
      <c r="H146" s="31"/>
      <c r="I146" s="31"/>
    </row>
    <row r="147" spans="1:9" x14ac:dyDescent="0.3">
      <c r="A147" s="33"/>
      <c r="B147" s="4">
        <v>45917</v>
      </c>
      <c r="C147" s="37" t="s">
        <v>7</v>
      </c>
      <c r="D147" s="2" t="s">
        <v>143</v>
      </c>
      <c r="E147" s="2">
        <v>4.99</v>
      </c>
      <c r="F147" s="2">
        <f t="shared" si="2"/>
        <v>114.77000000000001</v>
      </c>
      <c r="G147" s="2" t="s">
        <v>144</v>
      </c>
      <c r="H147" s="30">
        <f>SUMIF(B:B,"17/09/2025",E:E)</f>
        <v>6.99</v>
      </c>
      <c r="I147" s="30">
        <f>H147*23</f>
        <v>160.77000000000001</v>
      </c>
    </row>
    <row r="148" spans="1:9" x14ac:dyDescent="0.3">
      <c r="A148" s="33"/>
      <c r="B148" s="4">
        <v>45917</v>
      </c>
      <c r="C148" s="39"/>
      <c r="D148" s="2" t="s">
        <v>6</v>
      </c>
      <c r="E148" s="2">
        <v>2</v>
      </c>
      <c r="F148" s="2">
        <f t="shared" si="2"/>
        <v>46</v>
      </c>
      <c r="G148" s="2" t="s">
        <v>49</v>
      </c>
      <c r="H148" s="31"/>
      <c r="I148" s="31"/>
    </row>
    <row r="149" spans="1:9" x14ac:dyDescent="0.3">
      <c r="A149" s="33"/>
      <c r="B149" s="5">
        <v>45919</v>
      </c>
      <c r="C149" s="9" t="s">
        <v>7</v>
      </c>
      <c r="D149" s="2" t="s">
        <v>143</v>
      </c>
      <c r="E149" s="2">
        <v>2.99</v>
      </c>
      <c r="F149" s="2">
        <f t="shared" si="2"/>
        <v>68.77000000000001</v>
      </c>
      <c r="G149" s="2" t="s">
        <v>57</v>
      </c>
      <c r="H149" s="18">
        <f>SUMIF(B:B,"19/09/2025",E:E)</f>
        <v>2.99</v>
      </c>
      <c r="I149" s="18"/>
    </row>
    <row r="150" spans="1:9" x14ac:dyDescent="0.3">
      <c r="A150" s="34" t="s">
        <v>181</v>
      </c>
      <c r="B150" s="4">
        <v>45920</v>
      </c>
      <c r="C150" s="37" t="s">
        <v>7</v>
      </c>
      <c r="D150" s="58" t="s">
        <v>31</v>
      </c>
      <c r="E150" s="58">
        <v>2.2999999999999998</v>
      </c>
      <c r="F150" s="58">
        <f t="shared" si="2"/>
        <v>52.9</v>
      </c>
      <c r="G150" s="58" t="s">
        <v>52</v>
      </c>
      <c r="H150" s="30">
        <f>SUMIF(B:B,"20/09/2025",E:E)</f>
        <v>40.051304347826083</v>
      </c>
      <c r="I150" s="18"/>
    </row>
    <row r="151" spans="1:9" x14ac:dyDescent="0.3">
      <c r="A151" s="34"/>
      <c r="B151" s="4">
        <v>45920</v>
      </c>
      <c r="C151" s="38"/>
      <c r="D151" s="58" t="s">
        <v>26</v>
      </c>
      <c r="E151" s="58">
        <v>2</v>
      </c>
      <c r="F151" s="58">
        <f t="shared" si="2"/>
        <v>46</v>
      </c>
      <c r="G151" s="58" t="s">
        <v>52</v>
      </c>
      <c r="H151" s="32"/>
      <c r="I151" s="18"/>
    </row>
    <row r="152" spans="1:9" x14ac:dyDescent="0.3">
      <c r="A152" s="34"/>
      <c r="B152" s="4">
        <v>45920</v>
      </c>
      <c r="C152" s="38"/>
      <c r="D152" s="58" t="s">
        <v>64</v>
      </c>
      <c r="E152" s="58">
        <v>2.2000000000000002</v>
      </c>
      <c r="F152" s="58">
        <f t="shared" si="2"/>
        <v>50.6</v>
      </c>
      <c r="G152" s="58" t="s">
        <v>52</v>
      </c>
      <c r="H152" s="32"/>
      <c r="I152" s="18"/>
    </row>
    <row r="153" spans="1:9" x14ac:dyDescent="0.3">
      <c r="A153" s="34"/>
      <c r="B153" s="4">
        <v>45920</v>
      </c>
      <c r="C153" s="38"/>
      <c r="D153" s="58" t="s">
        <v>63</v>
      </c>
      <c r="E153" s="58">
        <v>4.8</v>
      </c>
      <c r="F153" s="58">
        <f t="shared" si="2"/>
        <v>110.39999999999999</v>
      </c>
      <c r="G153" s="58" t="s">
        <v>52</v>
      </c>
      <c r="H153" s="32"/>
      <c r="I153" s="18"/>
    </row>
    <row r="154" spans="1:9" x14ac:dyDescent="0.3">
      <c r="A154" s="34"/>
      <c r="B154" s="4">
        <v>45920</v>
      </c>
      <c r="C154" s="38"/>
      <c r="D154" s="58" t="s">
        <v>203</v>
      </c>
      <c r="E154" s="58">
        <v>1.45</v>
      </c>
      <c r="F154" s="58">
        <f t="shared" si="2"/>
        <v>33.35</v>
      </c>
      <c r="G154" s="58" t="s">
        <v>52</v>
      </c>
      <c r="H154" s="32"/>
      <c r="I154" s="18"/>
    </row>
    <row r="155" spans="1:9" x14ac:dyDescent="0.3">
      <c r="A155" s="34"/>
      <c r="B155" s="4">
        <v>45920</v>
      </c>
      <c r="C155" s="38"/>
      <c r="D155" s="58" t="s">
        <v>14</v>
      </c>
      <c r="E155" s="58">
        <v>4.75</v>
      </c>
      <c r="F155" s="58">
        <f t="shared" si="2"/>
        <v>109.25</v>
      </c>
      <c r="G155" s="2" t="s">
        <v>53</v>
      </c>
      <c r="H155" s="32"/>
      <c r="I155" s="18"/>
    </row>
    <row r="156" spans="1:9" x14ac:dyDescent="0.3">
      <c r="A156" s="34"/>
      <c r="B156" s="4">
        <v>45920</v>
      </c>
      <c r="C156" s="38"/>
      <c r="D156" s="58" t="s">
        <v>102</v>
      </c>
      <c r="E156" s="58">
        <v>1.24</v>
      </c>
      <c r="F156" s="58">
        <f t="shared" si="2"/>
        <v>28.52</v>
      </c>
      <c r="G156" s="2" t="s">
        <v>53</v>
      </c>
      <c r="H156" s="32"/>
      <c r="I156" s="18"/>
    </row>
    <row r="157" spans="1:9" x14ac:dyDescent="0.3">
      <c r="A157" s="34"/>
      <c r="B157" s="4">
        <v>45920</v>
      </c>
      <c r="C157" s="38"/>
      <c r="D157" s="58" t="s">
        <v>204</v>
      </c>
      <c r="E157" s="58">
        <v>1.99</v>
      </c>
      <c r="F157" s="58">
        <f t="shared" si="2"/>
        <v>45.77</v>
      </c>
      <c r="G157" s="2" t="s">
        <v>49</v>
      </c>
      <c r="H157" s="32"/>
      <c r="I157" s="18"/>
    </row>
    <row r="158" spans="1:9" x14ac:dyDescent="0.3">
      <c r="A158" s="34"/>
      <c r="B158" s="4">
        <v>45920</v>
      </c>
      <c r="C158" s="38"/>
      <c r="D158" s="58" t="s">
        <v>205</v>
      </c>
      <c r="E158" s="58">
        <v>5.45</v>
      </c>
      <c r="F158" s="58">
        <f t="shared" si="2"/>
        <v>125.35000000000001</v>
      </c>
      <c r="G158" s="2" t="s">
        <v>49</v>
      </c>
      <c r="H158" s="32"/>
      <c r="I158" s="18"/>
    </row>
    <row r="159" spans="1:9" x14ac:dyDescent="0.3">
      <c r="A159" s="34"/>
      <c r="B159" s="4">
        <v>45920</v>
      </c>
      <c r="C159" s="38"/>
      <c r="D159" s="58" t="s">
        <v>162</v>
      </c>
      <c r="E159" s="58">
        <v>0.74</v>
      </c>
      <c r="F159" s="58">
        <f t="shared" si="2"/>
        <v>17.02</v>
      </c>
      <c r="G159" s="2" t="s">
        <v>55</v>
      </c>
      <c r="H159" s="32"/>
      <c r="I159" s="18"/>
    </row>
    <row r="160" spans="1:9" x14ac:dyDescent="0.3">
      <c r="A160" s="34"/>
      <c r="B160" s="4">
        <v>45920</v>
      </c>
      <c r="C160" s="38"/>
      <c r="D160" s="58" t="s">
        <v>161</v>
      </c>
      <c r="E160" s="58">
        <v>0.78</v>
      </c>
      <c r="F160" s="58">
        <f t="shared" si="2"/>
        <v>17.940000000000001</v>
      </c>
      <c r="G160" s="2" t="s">
        <v>55</v>
      </c>
      <c r="H160" s="32"/>
      <c r="I160" s="18"/>
    </row>
    <row r="161" spans="1:9" x14ac:dyDescent="0.3">
      <c r="A161" s="34"/>
      <c r="B161" s="4">
        <v>45920</v>
      </c>
      <c r="C161" s="38"/>
      <c r="D161" s="58" t="s">
        <v>124</v>
      </c>
      <c r="E161" s="58">
        <v>3.39</v>
      </c>
      <c r="F161" s="58">
        <f t="shared" si="2"/>
        <v>77.97</v>
      </c>
      <c r="G161" s="2" t="s">
        <v>55</v>
      </c>
      <c r="H161" s="32"/>
      <c r="I161" s="18"/>
    </row>
    <row r="162" spans="1:9" x14ac:dyDescent="0.3">
      <c r="A162" s="34"/>
      <c r="B162" s="4">
        <v>45920</v>
      </c>
      <c r="C162" s="38"/>
      <c r="D162" s="58" t="s">
        <v>206</v>
      </c>
      <c r="E162" s="58">
        <v>2.98</v>
      </c>
      <c r="F162" s="58">
        <f t="shared" si="2"/>
        <v>68.540000000000006</v>
      </c>
      <c r="G162" s="2" t="s">
        <v>55</v>
      </c>
      <c r="H162" s="32"/>
      <c r="I162" s="18"/>
    </row>
    <row r="163" spans="1:9" x14ac:dyDescent="0.3">
      <c r="A163" s="34"/>
      <c r="B163" s="4">
        <v>45920</v>
      </c>
      <c r="C163" s="39"/>
      <c r="D163" s="58" t="s">
        <v>207</v>
      </c>
      <c r="E163" s="58">
        <v>2.09</v>
      </c>
      <c r="F163" s="58">
        <f t="shared" si="2"/>
        <v>48.069999999999993</v>
      </c>
      <c r="G163" s="2" t="s">
        <v>55</v>
      </c>
      <c r="H163" s="32"/>
      <c r="I163" s="18"/>
    </row>
    <row r="164" spans="1:9" x14ac:dyDescent="0.3">
      <c r="A164" s="34"/>
      <c r="B164" s="4">
        <v>45920</v>
      </c>
      <c r="C164" s="15" t="s">
        <v>112</v>
      </c>
      <c r="D164" s="58" t="s">
        <v>249</v>
      </c>
      <c r="E164" s="58">
        <f>F164/23</f>
        <v>3.8913043478260869</v>
      </c>
      <c r="F164" s="58">
        <v>89.5</v>
      </c>
      <c r="G164" s="2" t="s">
        <v>55</v>
      </c>
      <c r="H164" s="31"/>
      <c r="I164" s="18"/>
    </row>
    <row r="165" spans="1:9" x14ac:dyDescent="0.3">
      <c r="A165" s="34"/>
      <c r="B165" s="5">
        <v>45921</v>
      </c>
      <c r="C165" s="37" t="s">
        <v>7</v>
      </c>
      <c r="D165" s="58" t="s">
        <v>99</v>
      </c>
      <c r="E165" s="58">
        <v>2.95</v>
      </c>
      <c r="F165" s="58">
        <f t="shared" si="2"/>
        <v>67.850000000000009</v>
      </c>
      <c r="G165" s="2" t="s">
        <v>74</v>
      </c>
      <c r="H165" s="30">
        <f>SUMIF(B:B,"21/09/2025",E:E)</f>
        <v>10.09</v>
      </c>
      <c r="I165" s="18"/>
    </row>
    <row r="166" spans="1:9" x14ac:dyDescent="0.3">
      <c r="A166" s="34"/>
      <c r="B166" s="5">
        <v>45921</v>
      </c>
      <c r="C166" s="38"/>
      <c r="D166" s="58" t="s">
        <v>15</v>
      </c>
      <c r="E166" s="58">
        <v>5.35</v>
      </c>
      <c r="F166" s="58">
        <f t="shared" si="2"/>
        <v>123.05</v>
      </c>
      <c r="G166" s="2" t="s">
        <v>74</v>
      </c>
      <c r="H166" s="32"/>
      <c r="I166" s="18"/>
    </row>
    <row r="167" spans="1:9" x14ac:dyDescent="0.3">
      <c r="A167" s="34"/>
      <c r="B167" s="5">
        <v>45921</v>
      </c>
      <c r="C167" s="39"/>
      <c r="D167" s="58" t="s">
        <v>129</v>
      </c>
      <c r="E167" s="58">
        <v>1.79</v>
      </c>
      <c r="F167" s="58">
        <f t="shared" si="2"/>
        <v>41.17</v>
      </c>
      <c r="G167" s="2" t="s">
        <v>49</v>
      </c>
      <c r="H167" s="31"/>
      <c r="I167" s="18"/>
    </row>
    <row r="168" spans="1:9" x14ac:dyDescent="0.3">
      <c r="A168" s="34"/>
      <c r="B168" s="4">
        <v>45922</v>
      </c>
      <c r="C168" s="37" t="s">
        <v>7</v>
      </c>
      <c r="D168" s="58" t="s">
        <v>41</v>
      </c>
      <c r="E168" s="58">
        <v>6.32</v>
      </c>
      <c r="F168" s="58">
        <f t="shared" si="2"/>
        <v>145.36000000000001</v>
      </c>
      <c r="G168" s="2" t="s">
        <v>52</v>
      </c>
      <c r="H168" s="30">
        <f>SUMIF(B:B,"22/09/2025",E:E)</f>
        <v>6.91</v>
      </c>
      <c r="I168" s="18"/>
    </row>
    <row r="169" spans="1:9" x14ac:dyDescent="0.3">
      <c r="A169" s="34"/>
      <c r="B169" s="4">
        <v>45922</v>
      </c>
      <c r="C169" s="39"/>
      <c r="D169" s="58" t="s">
        <v>208</v>
      </c>
      <c r="E169" s="58">
        <v>0.59</v>
      </c>
      <c r="F169" s="58">
        <f t="shared" si="2"/>
        <v>13.569999999999999</v>
      </c>
      <c r="G169" s="2" t="s">
        <v>52</v>
      </c>
      <c r="H169" s="31"/>
      <c r="I169" s="18"/>
    </row>
    <row r="170" spans="1:9" x14ac:dyDescent="0.3">
      <c r="A170" s="34"/>
      <c r="B170" s="5">
        <v>45926</v>
      </c>
      <c r="C170" s="9" t="s">
        <v>7</v>
      </c>
      <c r="D170" s="58" t="s">
        <v>207</v>
      </c>
      <c r="E170" s="58">
        <v>1.46</v>
      </c>
      <c r="F170" s="58">
        <f t="shared" si="2"/>
        <v>33.58</v>
      </c>
      <c r="G170" s="2" t="s">
        <v>52</v>
      </c>
      <c r="H170" s="18">
        <f>SUMIF(B:B,"26/09/2025",E:E)</f>
        <v>1.46</v>
      </c>
      <c r="I170" s="18"/>
    </row>
    <row r="171" spans="1:9" x14ac:dyDescent="0.3">
      <c r="A171" s="33" t="s">
        <v>182</v>
      </c>
      <c r="B171" s="4">
        <v>45927</v>
      </c>
      <c r="C171" s="37" t="s">
        <v>7</v>
      </c>
      <c r="D171" s="58" t="s">
        <v>23</v>
      </c>
      <c r="E171" s="58">
        <v>3.19</v>
      </c>
      <c r="F171" s="58">
        <f t="shared" si="2"/>
        <v>73.37</v>
      </c>
      <c r="G171" s="2" t="s">
        <v>49</v>
      </c>
      <c r="H171" s="30">
        <f>SUMIF(B:B,"27/09/2025",E:E)</f>
        <v>40.450000000000003</v>
      </c>
      <c r="I171" s="18"/>
    </row>
    <row r="172" spans="1:9" x14ac:dyDescent="0.3">
      <c r="A172" s="33"/>
      <c r="B172" s="4">
        <v>45927</v>
      </c>
      <c r="C172" s="38"/>
      <c r="D172" s="58" t="s">
        <v>209</v>
      </c>
      <c r="E172" s="58">
        <v>2.46</v>
      </c>
      <c r="F172" s="58">
        <f t="shared" si="2"/>
        <v>56.58</v>
      </c>
      <c r="G172" s="2" t="s">
        <v>49</v>
      </c>
      <c r="H172" s="32"/>
      <c r="I172" s="18"/>
    </row>
    <row r="173" spans="1:9" x14ac:dyDescent="0.3">
      <c r="A173" s="33"/>
      <c r="B173" s="4">
        <v>45927</v>
      </c>
      <c r="C173" s="38"/>
      <c r="D173" s="58" t="s">
        <v>127</v>
      </c>
      <c r="E173" s="58">
        <v>6.5</v>
      </c>
      <c r="F173" s="58">
        <f t="shared" si="2"/>
        <v>149.5</v>
      </c>
      <c r="G173" s="2" t="s">
        <v>52</v>
      </c>
      <c r="H173" s="32"/>
      <c r="I173" s="18"/>
    </row>
    <row r="174" spans="1:9" x14ac:dyDescent="0.3">
      <c r="A174" s="33"/>
      <c r="B174" s="4">
        <v>45927</v>
      </c>
      <c r="C174" s="38"/>
      <c r="D174" s="58" t="s">
        <v>31</v>
      </c>
      <c r="E174" s="58">
        <v>2.2999999999999998</v>
      </c>
      <c r="F174" s="58">
        <f t="shared" si="2"/>
        <v>52.9</v>
      </c>
      <c r="G174" s="2" t="s">
        <v>52</v>
      </c>
      <c r="H174" s="32"/>
      <c r="I174" s="18"/>
    </row>
    <row r="175" spans="1:9" x14ac:dyDescent="0.3">
      <c r="A175" s="33"/>
      <c r="B175" s="4">
        <v>45927</v>
      </c>
      <c r="C175" s="38"/>
      <c r="D175" s="58" t="s">
        <v>14</v>
      </c>
      <c r="E175" s="58">
        <v>4.75</v>
      </c>
      <c r="F175" s="58">
        <f t="shared" si="2"/>
        <v>109.25</v>
      </c>
      <c r="G175" s="2" t="s">
        <v>52</v>
      </c>
      <c r="H175" s="32"/>
      <c r="I175" s="18"/>
    </row>
    <row r="176" spans="1:9" x14ac:dyDescent="0.3">
      <c r="A176" s="33"/>
      <c r="B176" s="4">
        <v>45927</v>
      </c>
      <c r="C176" s="38"/>
      <c r="D176" s="58" t="s">
        <v>203</v>
      </c>
      <c r="E176" s="58">
        <v>1.45</v>
      </c>
      <c r="F176" s="58">
        <f t="shared" si="2"/>
        <v>33.35</v>
      </c>
      <c r="G176" s="2" t="s">
        <v>52</v>
      </c>
      <c r="H176" s="32"/>
      <c r="I176" s="18"/>
    </row>
    <row r="177" spans="1:9" x14ac:dyDescent="0.3">
      <c r="A177" s="33"/>
      <c r="B177" s="4">
        <v>45927</v>
      </c>
      <c r="C177" s="38"/>
      <c r="D177" s="58" t="s">
        <v>87</v>
      </c>
      <c r="E177" s="58">
        <v>2</v>
      </c>
      <c r="F177" s="58">
        <f t="shared" si="2"/>
        <v>46</v>
      </c>
      <c r="G177" s="2" t="s">
        <v>52</v>
      </c>
      <c r="H177" s="32"/>
      <c r="I177" s="18"/>
    </row>
    <row r="178" spans="1:9" x14ac:dyDescent="0.3">
      <c r="A178" s="33"/>
      <c r="B178" s="4">
        <v>45927</v>
      </c>
      <c r="C178" s="39"/>
      <c r="D178" s="58" t="s">
        <v>210</v>
      </c>
      <c r="E178" s="58">
        <v>17.8</v>
      </c>
      <c r="F178" s="58">
        <f t="shared" si="2"/>
        <v>409.40000000000003</v>
      </c>
      <c r="G178" s="2" t="s">
        <v>211</v>
      </c>
      <c r="H178" s="31"/>
      <c r="I178" s="18"/>
    </row>
    <row r="179" spans="1:9" x14ac:dyDescent="0.3">
      <c r="A179" s="33"/>
      <c r="B179" s="5">
        <v>45928</v>
      </c>
      <c r="C179" s="37" t="s">
        <v>7</v>
      </c>
      <c r="D179" s="58" t="s">
        <v>6</v>
      </c>
      <c r="E179" s="58">
        <v>2</v>
      </c>
      <c r="F179" s="58">
        <f t="shared" si="2"/>
        <v>46</v>
      </c>
      <c r="G179" s="2" t="s">
        <v>49</v>
      </c>
      <c r="H179" s="30">
        <f>SUMIF(B:B,"28/09/2025",E:E)</f>
        <v>10.17</v>
      </c>
      <c r="I179" s="18"/>
    </row>
    <row r="180" spans="1:9" x14ac:dyDescent="0.3">
      <c r="A180" s="33"/>
      <c r="B180" s="5">
        <v>45928</v>
      </c>
      <c r="C180" s="38"/>
      <c r="D180" s="58" t="s">
        <v>204</v>
      </c>
      <c r="E180" s="58">
        <v>2.4500000000000002</v>
      </c>
      <c r="F180" s="58">
        <f t="shared" si="2"/>
        <v>56.35</v>
      </c>
      <c r="G180" s="2" t="s">
        <v>49</v>
      </c>
      <c r="H180" s="32"/>
      <c r="I180" s="18"/>
    </row>
    <row r="181" spans="1:9" x14ac:dyDescent="0.3">
      <c r="A181" s="33"/>
      <c r="B181" s="5">
        <v>45928</v>
      </c>
      <c r="C181" s="38"/>
      <c r="D181" s="58" t="s">
        <v>99</v>
      </c>
      <c r="E181" s="58">
        <v>1.9</v>
      </c>
      <c r="F181" s="58">
        <f t="shared" si="2"/>
        <v>43.699999999999996</v>
      </c>
      <c r="G181" s="2" t="s">
        <v>74</v>
      </c>
      <c r="H181" s="32"/>
      <c r="I181" s="18"/>
    </row>
    <row r="182" spans="1:9" x14ac:dyDescent="0.3">
      <c r="A182" s="33"/>
      <c r="B182" s="5">
        <v>45928</v>
      </c>
      <c r="C182" s="39"/>
      <c r="D182" s="58" t="s">
        <v>102</v>
      </c>
      <c r="E182" s="58">
        <v>3.82</v>
      </c>
      <c r="F182" s="58">
        <f t="shared" si="2"/>
        <v>87.86</v>
      </c>
      <c r="G182" s="2" t="s">
        <v>74</v>
      </c>
      <c r="H182" s="31"/>
      <c r="I182" s="18"/>
    </row>
    <row r="183" spans="1:9" x14ac:dyDescent="0.3">
      <c r="A183" s="33"/>
      <c r="B183" s="4">
        <v>45929</v>
      </c>
      <c r="C183" s="37" t="s">
        <v>7</v>
      </c>
      <c r="D183" s="58" t="s">
        <v>41</v>
      </c>
      <c r="E183" s="58">
        <v>6.81</v>
      </c>
      <c r="F183" s="58">
        <f t="shared" si="2"/>
        <v>156.63</v>
      </c>
      <c r="G183" s="2" t="s">
        <v>52</v>
      </c>
      <c r="H183" s="30">
        <f>SUMIF(B:B,"29/09/2025",E:E)</f>
        <v>12.33</v>
      </c>
      <c r="I183" s="18"/>
    </row>
    <row r="184" spans="1:9" x14ac:dyDescent="0.3">
      <c r="A184" s="33"/>
      <c r="B184" s="4">
        <v>45929</v>
      </c>
      <c r="C184" s="38"/>
      <c r="D184" s="58" t="s">
        <v>212</v>
      </c>
      <c r="E184" s="58">
        <v>2.5</v>
      </c>
      <c r="F184" s="58">
        <f t="shared" si="2"/>
        <v>57.5</v>
      </c>
      <c r="G184" s="2" t="s">
        <v>52</v>
      </c>
      <c r="H184" s="32"/>
      <c r="I184" s="18"/>
    </row>
    <row r="185" spans="1:9" x14ac:dyDescent="0.3">
      <c r="A185" s="33"/>
      <c r="B185" s="4">
        <v>45929</v>
      </c>
      <c r="C185" s="38"/>
      <c r="D185" s="58" t="s">
        <v>77</v>
      </c>
      <c r="E185" s="58">
        <v>0.65</v>
      </c>
      <c r="F185" s="58">
        <f t="shared" si="2"/>
        <v>14.950000000000001</v>
      </c>
      <c r="G185" s="2" t="s">
        <v>52</v>
      </c>
      <c r="H185" s="32"/>
      <c r="I185" s="18"/>
    </row>
    <row r="186" spans="1:9" x14ac:dyDescent="0.3">
      <c r="A186" s="33"/>
      <c r="B186" s="4">
        <v>45929</v>
      </c>
      <c r="C186" s="38"/>
      <c r="D186" s="58" t="s">
        <v>121</v>
      </c>
      <c r="E186" s="58">
        <v>1.1499999999999999</v>
      </c>
      <c r="F186" s="58">
        <f t="shared" si="2"/>
        <v>26.45</v>
      </c>
      <c r="G186" s="2" t="s">
        <v>52</v>
      </c>
      <c r="H186" s="32"/>
      <c r="I186" s="18"/>
    </row>
    <row r="187" spans="1:9" x14ac:dyDescent="0.3">
      <c r="A187" s="33"/>
      <c r="B187" s="4">
        <v>45929</v>
      </c>
      <c r="C187" s="39"/>
      <c r="D187" s="58" t="s">
        <v>213</v>
      </c>
      <c r="E187" s="58">
        <v>1.22</v>
      </c>
      <c r="F187" s="58">
        <f t="shared" si="2"/>
        <v>28.06</v>
      </c>
      <c r="G187" s="2" t="s">
        <v>52</v>
      </c>
      <c r="H187" s="31"/>
      <c r="I187" s="18"/>
    </row>
    <row r="188" spans="1:9" x14ac:dyDescent="0.3">
      <c r="A188" s="33"/>
      <c r="B188" s="5">
        <v>45930</v>
      </c>
      <c r="C188" s="37" t="s">
        <v>7</v>
      </c>
      <c r="D188" s="58" t="s">
        <v>162</v>
      </c>
      <c r="E188" s="58">
        <v>0.75</v>
      </c>
      <c r="F188" s="58">
        <f t="shared" si="2"/>
        <v>17.25</v>
      </c>
      <c r="G188" s="2" t="s">
        <v>55</v>
      </c>
      <c r="H188" s="30">
        <f>SUMIF(B:B,"30/09/2025",E:E)</f>
        <v>3.9400000000000004</v>
      </c>
      <c r="I188" s="18"/>
    </row>
    <row r="189" spans="1:9" x14ac:dyDescent="0.3">
      <c r="A189" s="33"/>
      <c r="B189" s="5">
        <v>45930</v>
      </c>
      <c r="C189" s="38"/>
      <c r="D189" s="58" t="s">
        <v>161</v>
      </c>
      <c r="E189" s="58">
        <v>0.8</v>
      </c>
      <c r="F189" s="58">
        <f t="shared" si="2"/>
        <v>18.400000000000002</v>
      </c>
      <c r="G189" s="2" t="s">
        <v>55</v>
      </c>
      <c r="H189" s="32"/>
      <c r="I189" s="18"/>
    </row>
    <row r="190" spans="1:9" x14ac:dyDescent="0.3">
      <c r="A190" s="33"/>
      <c r="B190" s="5">
        <v>45930</v>
      </c>
      <c r="C190" s="39"/>
      <c r="D190" s="58" t="s">
        <v>214</v>
      </c>
      <c r="E190" s="58">
        <v>2.39</v>
      </c>
      <c r="F190" s="58">
        <f t="shared" si="2"/>
        <v>54.970000000000006</v>
      </c>
      <c r="G190" s="2" t="s">
        <v>55</v>
      </c>
      <c r="H190" s="31"/>
      <c r="I190" s="18"/>
    </row>
    <row r="191" spans="1:9" x14ac:dyDescent="0.3">
      <c r="A191" s="33"/>
      <c r="B191" s="4">
        <v>45931</v>
      </c>
      <c r="C191" s="37" t="s">
        <v>7</v>
      </c>
      <c r="D191" s="58" t="s">
        <v>65</v>
      </c>
      <c r="E191" s="58">
        <v>2.17</v>
      </c>
      <c r="F191" s="58">
        <f t="shared" si="2"/>
        <v>49.91</v>
      </c>
      <c r="G191" s="2" t="s">
        <v>74</v>
      </c>
      <c r="H191" s="18"/>
      <c r="I191" s="18"/>
    </row>
    <row r="192" spans="1:9" x14ac:dyDescent="0.3">
      <c r="A192" s="33"/>
      <c r="B192" s="4">
        <v>45931</v>
      </c>
      <c r="C192" s="39"/>
      <c r="D192" s="58" t="s">
        <v>215</v>
      </c>
      <c r="E192" s="58">
        <v>6.89</v>
      </c>
      <c r="F192" s="58">
        <f t="shared" si="2"/>
        <v>158.47</v>
      </c>
      <c r="G192" s="2" t="s">
        <v>74</v>
      </c>
      <c r="H192" s="18"/>
      <c r="I192" s="18"/>
    </row>
    <row r="193" spans="1:9" x14ac:dyDescent="0.3">
      <c r="A193" s="33"/>
      <c r="B193" s="5">
        <v>45932</v>
      </c>
      <c r="C193" s="9" t="s">
        <v>7</v>
      </c>
      <c r="D193" s="58" t="s">
        <v>14</v>
      </c>
      <c r="E193" s="58">
        <v>4.75</v>
      </c>
      <c r="F193" s="58">
        <f>E193*23</f>
        <v>109.25</v>
      </c>
      <c r="G193" s="2" t="s">
        <v>52</v>
      </c>
      <c r="H193" s="18"/>
      <c r="I193" s="18"/>
    </row>
    <row r="194" spans="1:9" x14ac:dyDescent="0.3">
      <c r="A194" s="33"/>
      <c r="B194" s="5">
        <v>45932</v>
      </c>
      <c r="C194" s="15" t="s">
        <v>112</v>
      </c>
      <c r="D194" s="2" t="s">
        <v>58</v>
      </c>
      <c r="E194" s="2">
        <v>10</v>
      </c>
      <c r="F194" s="2">
        <f t="shared" ref="F194" si="3">E194*23</f>
        <v>230</v>
      </c>
      <c r="G194" s="2" t="s">
        <v>47</v>
      </c>
      <c r="H194" s="18"/>
      <c r="I194" s="18"/>
    </row>
    <row r="195" spans="1:9" x14ac:dyDescent="0.3">
      <c r="A195" s="33"/>
      <c r="B195" s="4">
        <v>45933</v>
      </c>
      <c r="C195" s="37" t="s">
        <v>7</v>
      </c>
      <c r="D195" s="58" t="s">
        <v>216</v>
      </c>
      <c r="E195" s="58">
        <v>2.14</v>
      </c>
      <c r="F195" s="58">
        <f>E195*23</f>
        <v>49.220000000000006</v>
      </c>
      <c r="G195" s="2" t="s">
        <v>74</v>
      </c>
      <c r="H195" s="18"/>
      <c r="I195" s="18"/>
    </row>
    <row r="196" spans="1:9" x14ac:dyDescent="0.3">
      <c r="A196" s="33"/>
      <c r="B196" s="4">
        <v>45933</v>
      </c>
      <c r="C196" s="39"/>
      <c r="D196" s="58" t="s">
        <v>217</v>
      </c>
      <c r="E196" s="58">
        <v>3.25</v>
      </c>
      <c r="F196" s="58">
        <f>E196*23</f>
        <v>74.75</v>
      </c>
      <c r="G196" s="2" t="s">
        <v>74</v>
      </c>
      <c r="H196" s="18"/>
      <c r="I196" s="18"/>
    </row>
    <row r="197" spans="1:9" x14ac:dyDescent="0.3">
      <c r="A197" s="34" t="s">
        <v>183</v>
      </c>
      <c r="B197" s="5">
        <v>45934</v>
      </c>
      <c r="C197" s="37" t="s">
        <v>7</v>
      </c>
      <c r="D197" s="58" t="s">
        <v>102</v>
      </c>
      <c r="E197" s="58">
        <v>2.98</v>
      </c>
      <c r="F197" s="58">
        <f>E197*23</f>
        <v>68.540000000000006</v>
      </c>
      <c r="G197" s="2" t="s">
        <v>55</v>
      </c>
      <c r="H197" s="18"/>
      <c r="I197" s="18"/>
    </row>
    <row r="198" spans="1:9" x14ac:dyDescent="0.3">
      <c r="A198" s="34"/>
      <c r="B198" s="5">
        <v>45934</v>
      </c>
      <c r="C198" s="38"/>
      <c r="D198" s="58" t="s">
        <v>124</v>
      </c>
      <c r="E198" s="58">
        <v>3.39</v>
      </c>
      <c r="F198" s="58">
        <f>E198*23</f>
        <v>77.97</v>
      </c>
      <c r="G198" s="2" t="s">
        <v>55</v>
      </c>
      <c r="H198" s="18"/>
      <c r="I198" s="18"/>
    </row>
    <row r="199" spans="1:9" x14ac:dyDescent="0.3">
      <c r="A199" s="34"/>
      <c r="B199" s="5">
        <v>45934</v>
      </c>
      <c r="C199" s="38"/>
      <c r="D199" s="58" t="s">
        <v>45</v>
      </c>
      <c r="E199" s="58">
        <v>1.49</v>
      </c>
      <c r="F199" s="58">
        <f>E199*23</f>
        <v>34.270000000000003</v>
      </c>
      <c r="G199" s="2" t="s">
        <v>55</v>
      </c>
      <c r="H199" s="18"/>
      <c r="I199" s="18"/>
    </row>
    <row r="200" spans="1:9" x14ac:dyDescent="0.3">
      <c r="A200" s="34"/>
      <c r="B200" s="5">
        <v>45934</v>
      </c>
      <c r="C200" s="38"/>
      <c r="D200" s="58" t="s">
        <v>96</v>
      </c>
      <c r="E200" s="58">
        <v>2.2999999999999998</v>
      </c>
      <c r="F200" s="58">
        <f>E200*23</f>
        <v>52.9</v>
      </c>
      <c r="G200" s="2" t="s">
        <v>52</v>
      </c>
      <c r="H200" s="18"/>
      <c r="I200" s="18"/>
    </row>
    <row r="201" spans="1:9" x14ac:dyDescent="0.3">
      <c r="A201" s="34"/>
      <c r="B201" s="5">
        <v>45934</v>
      </c>
      <c r="C201" s="38"/>
      <c r="D201" s="58" t="s">
        <v>121</v>
      </c>
      <c r="E201" s="58">
        <v>1.1499999999999999</v>
      </c>
      <c r="F201" s="58">
        <f>E201*23</f>
        <v>26.45</v>
      </c>
      <c r="G201" s="2" t="s">
        <v>52</v>
      </c>
      <c r="H201" s="18"/>
      <c r="I201" s="18"/>
    </row>
    <row r="202" spans="1:9" x14ac:dyDescent="0.3">
      <c r="A202" s="34"/>
      <c r="B202" s="5">
        <v>45934</v>
      </c>
      <c r="C202" s="38"/>
      <c r="D202" s="58" t="s">
        <v>212</v>
      </c>
      <c r="E202" s="58">
        <v>2.5</v>
      </c>
      <c r="F202" s="58">
        <f>E202*23</f>
        <v>57.5</v>
      </c>
      <c r="G202" s="2" t="s">
        <v>52</v>
      </c>
      <c r="H202" s="18"/>
      <c r="I202" s="18"/>
    </row>
    <row r="203" spans="1:9" x14ac:dyDescent="0.3">
      <c r="A203" s="34"/>
      <c r="B203" s="5">
        <v>45934</v>
      </c>
      <c r="C203" s="38"/>
      <c r="D203" s="58" t="s">
        <v>127</v>
      </c>
      <c r="E203" s="58">
        <v>6.5</v>
      </c>
      <c r="F203" s="58">
        <f>E203*23</f>
        <v>149.5</v>
      </c>
      <c r="G203" s="2" t="s">
        <v>52</v>
      </c>
      <c r="H203" s="18"/>
      <c r="I203" s="18"/>
    </row>
    <row r="204" spans="1:9" x14ac:dyDescent="0.3">
      <c r="A204" s="34"/>
      <c r="B204" s="5">
        <v>45934</v>
      </c>
      <c r="C204" s="39"/>
      <c r="D204" s="58" t="s">
        <v>203</v>
      </c>
      <c r="E204" s="58">
        <v>1.45</v>
      </c>
      <c r="F204" s="58">
        <f>E204*23</f>
        <v>33.35</v>
      </c>
      <c r="G204" s="2" t="s">
        <v>52</v>
      </c>
      <c r="H204" s="18"/>
      <c r="I204" s="18"/>
    </row>
    <row r="205" spans="1:9" x14ac:dyDescent="0.3">
      <c r="A205" s="34"/>
      <c r="B205" s="4">
        <v>45936</v>
      </c>
      <c r="C205" s="37" t="s">
        <v>7</v>
      </c>
      <c r="D205" s="58" t="s">
        <v>162</v>
      </c>
      <c r="E205" s="58">
        <v>0.95</v>
      </c>
      <c r="F205" s="58">
        <f>E205*23</f>
        <v>21.849999999999998</v>
      </c>
      <c r="G205" s="2" t="s">
        <v>55</v>
      </c>
      <c r="H205" s="18"/>
      <c r="I205" s="18"/>
    </row>
    <row r="206" spans="1:9" x14ac:dyDescent="0.3">
      <c r="A206" s="34"/>
      <c r="B206" s="4">
        <v>45936</v>
      </c>
      <c r="C206" s="38"/>
      <c r="D206" s="58" t="s">
        <v>161</v>
      </c>
      <c r="E206" s="58">
        <v>0.8</v>
      </c>
      <c r="F206" s="58">
        <f>E206*23</f>
        <v>18.400000000000002</v>
      </c>
      <c r="G206" s="2" t="s">
        <v>55</v>
      </c>
      <c r="H206" s="18"/>
      <c r="I206" s="18"/>
    </row>
    <row r="207" spans="1:9" x14ac:dyDescent="0.3">
      <c r="A207" s="34"/>
      <c r="B207" s="4">
        <v>45936</v>
      </c>
      <c r="C207" s="38"/>
      <c r="D207" s="58" t="s">
        <v>87</v>
      </c>
      <c r="E207" s="58">
        <v>2.79</v>
      </c>
      <c r="F207" s="58">
        <f>E207*23</f>
        <v>64.17</v>
      </c>
      <c r="G207" s="2" t="s">
        <v>55</v>
      </c>
      <c r="H207" s="18"/>
      <c r="I207" s="18"/>
    </row>
    <row r="208" spans="1:9" x14ac:dyDescent="0.3">
      <c r="A208" s="34"/>
      <c r="B208" s="4">
        <v>45936</v>
      </c>
      <c r="C208" s="38"/>
      <c r="D208" s="58" t="s">
        <v>41</v>
      </c>
      <c r="E208" s="58">
        <v>3.9</v>
      </c>
      <c r="F208" s="58">
        <f>E208*23</f>
        <v>89.7</v>
      </c>
      <c r="G208" s="2" t="s">
        <v>55</v>
      </c>
      <c r="H208" s="18"/>
      <c r="I208" s="18"/>
    </row>
    <row r="209" spans="1:9" x14ac:dyDescent="0.3">
      <c r="A209" s="34"/>
      <c r="B209" s="4">
        <v>45936</v>
      </c>
      <c r="C209" s="38"/>
      <c r="D209" s="58" t="s">
        <v>218</v>
      </c>
      <c r="E209" s="58">
        <v>4.88</v>
      </c>
      <c r="F209" s="58">
        <f>E209*23</f>
        <v>112.24</v>
      </c>
      <c r="G209" s="2" t="s">
        <v>55</v>
      </c>
      <c r="H209" s="18"/>
      <c r="I209" s="18"/>
    </row>
    <row r="210" spans="1:9" x14ac:dyDescent="0.3">
      <c r="A210" s="34"/>
      <c r="B210" s="4">
        <v>45936</v>
      </c>
      <c r="C210" s="38"/>
      <c r="D210" s="58" t="s">
        <v>204</v>
      </c>
      <c r="E210" s="58">
        <v>2.4500000000000002</v>
      </c>
      <c r="F210" s="58">
        <f>E210*23</f>
        <v>56.35</v>
      </c>
      <c r="G210" s="2" t="s">
        <v>49</v>
      </c>
      <c r="H210" s="18"/>
      <c r="I210" s="18"/>
    </row>
    <row r="211" spans="1:9" x14ac:dyDescent="0.3">
      <c r="A211" s="34"/>
      <c r="B211" s="4">
        <v>45936</v>
      </c>
      <c r="C211" s="38"/>
      <c r="D211" s="58" t="s">
        <v>6</v>
      </c>
      <c r="E211" s="58">
        <v>2</v>
      </c>
      <c r="F211" s="58">
        <f>E211*23</f>
        <v>46</v>
      </c>
      <c r="G211" s="2" t="s">
        <v>49</v>
      </c>
      <c r="H211" s="18"/>
      <c r="I211" s="18"/>
    </row>
    <row r="212" spans="1:9" x14ac:dyDescent="0.3">
      <c r="A212" s="34"/>
      <c r="B212" s="4">
        <v>45936</v>
      </c>
      <c r="C212" s="38"/>
      <c r="D212" s="58" t="s">
        <v>17</v>
      </c>
      <c r="E212" s="58">
        <v>0.9</v>
      </c>
      <c r="F212" s="58">
        <f>E212*23</f>
        <v>20.7</v>
      </c>
      <c r="G212" s="2" t="s">
        <v>52</v>
      </c>
      <c r="H212" s="18"/>
      <c r="I212" s="18"/>
    </row>
    <row r="213" spans="1:9" x14ac:dyDescent="0.3">
      <c r="A213" s="34"/>
      <c r="B213" s="4">
        <v>45936</v>
      </c>
      <c r="C213" s="38"/>
      <c r="D213" s="58" t="s">
        <v>207</v>
      </c>
      <c r="E213" s="58">
        <v>1.45</v>
      </c>
      <c r="F213" s="58">
        <f>E213*23</f>
        <v>33.35</v>
      </c>
      <c r="G213" s="2" t="s">
        <v>52</v>
      </c>
      <c r="H213" s="18"/>
      <c r="I213" s="18"/>
    </row>
    <row r="214" spans="1:9" x14ac:dyDescent="0.3">
      <c r="A214" s="34"/>
      <c r="B214" s="5">
        <v>45937</v>
      </c>
      <c r="C214" s="39"/>
      <c r="D214" s="58" t="s">
        <v>99</v>
      </c>
      <c r="E214" s="58">
        <v>2</v>
      </c>
      <c r="F214" s="58">
        <f>E214*23</f>
        <v>46</v>
      </c>
      <c r="G214" s="2" t="s">
        <v>74</v>
      </c>
      <c r="H214" s="18"/>
      <c r="I214" s="18"/>
    </row>
    <row r="215" spans="1:9" x14ac:dyDescent="0.3">
      <c r="A215" s="34"/>
      <c r="B215" s="5">
        <v>45937</v>
      </c>
      <c r="C215" s="18"/>
      <c r="D215" s="58" t="s">
        <v>15</v>
      </c>
      <c r="E215" s="58">
        <v>5.35</v>
      </c>
      <c r="F215" s="58">
        <f>E215*23</f>
        <v>123.05</v>
      </c>
      <c r="G215" s="2" t="s">
        <v>74</v>
      </c>
      <c r="H215" s="18"/>
      <c r="I215" s="18"/>
    </row>
    <row r="216" spans="1:9" x14ac:dyDescent="0.3">
      <c r="A216" s="34"/>
      <c r="B216" s="4">
        <v>45939</v>
      </c>
      <c r="C216" s="18"/>
      <c r="D216" s="58" t="s">
        <v>209</v>
      </c>
      <c r="E216" s="58">
        <v>2.35</v>
      </c>
      <c r="F216" s="58">
        <f>E216*23</f>
        <v>54.050000000000004</v>
      </c>
      <c r="G216" s="2" t="s">
        <v>55</v>
      </c>
      <c r="H216" s="18"/>
      <c r="I216" s="18"/>
    </row>
    <row r="217" spans="1:9" x14ac:dyDescent="0.3">
      <c r="A217" s="34"/>
      <c r="B217" s="4">
        <v>45939</v>
      </c>
      <c r="C217" s="18"/>
      <c r="D217" s="58" t="s">
        <v>45</v>
      </c>
      <c r="E217" s="58">
        <v>1.49</v>
      </c>
      <c r="F217" s="58">
        <f>E217*23</f>
        <v>34.270000000000003</v>
      </c>
      <c r="G217" s="2" t="s">
        <v>55</v>
      </c>
      <c r="H217" s="18"/>
      <c r="I217" s="18"/>
    </row>
    <row r="218" spans="1:9" x14ac:dyDescent="0.3">
      <c r="A218" s="34"/>
      <c r="B218" s="4">
        <v>45939</v>
      </c>
      <c r="C218" s="18"/>
      <c r="D218" s="58" t="s">
        <v>14</v>
      </c>
      <c r="E218" s="58">
        <v>5.69</v>
      </c>
      <c r="F218" s="58">
        <f>E218*23</f>
        <v>130.87</v>
      </c>
      <c r="G218" s="2" t="s">
        <v>55</v>
      </c>
      <c r="H218" s="18"/>
      <c r="I218" s="18"/>
    </row>
    <row r="219" spans="1:9" x14ac:dyDescent="0.3">
      <c r="A219" s="34"/>
      <c r="B219" s="4">
        <v>45939</v>
      </c>
      <c r="C219" s="18"/>
      <c r="D219" s="58" t="s">
        <v>29</v>
      </c>
      <c r="E219" s="58">
        <v>0.78</v>
      </c>
      <c r="F219" s="58">
        <f>E219*23</f>
        <v>17.940000000000001</v>
      </c>
      <c r="G219" s="2" t="s">
        <v>52</v>
      </c>
      <c r="H219" s="18"/>
      <c r="I219" s="18"/>
    </row>
    <row r="220" spans="1:9" x14ac:dyDescent="0.3">
      <c r="A220" s="34"/>
      <c r="B220" s="4">
        <v>45939</v>
      </c>
      <c r="C220" s="18"/>
      <c r="D220" s="58" t="s">
        <v>207</v>
      </c>
      <c r="E220" s="58">
        <v>2.0699999999999998</v>
      </c>
      <c r="F220" s="58">
        <f>E220*23</f>
        <v>47.61</v>
      </c>
      <c r="G220" s="2" t="s">
        <v>52</v>
      </c>
      <c r="H220" s="18"/>
      <c r="I220" s="18"/>
    </row>
    <row r="221" spans="1:9" x14ac:dyDescent="0.3">
      <c r="A221" s="33" t="s">
        <v>184</v>
      </c>
      <c r="B221" s="5">
        <v>45941</v>
      </c>
      <c r="C221" s="18"/>
      <c r="D221" s="58" t="s">
        <v>31</v>
      </c>
      <c r="E221" s="58">
        <v>2.2999999999999998</v>
      </c>
      <c r="F221" s="58">
        <f>E221*23</f>
        <v>52.9</v>
      </c>
      <c r="G221" s="2" t="s">
        <v>52</v>
      </c>
      <c r="H221" s="18"/>
      <c r="I221" s="18"/>
    </row>
    <row r="222" spans="1:9" x14ac:dyDescent="0.3">
      <c r="A222" s="33"/>
      <c r="B222" s="5">
        <v>45941</v>
      </c>
      <c r="C222" s="18"/>
      <c r="D222" s="58" t="s">
        <v>121</v>
      </c>
      <c r="E222" s="58">
        <v>1.1499999999999999</v>
      </c>
      <c r="F222" s="58">
        <f>E222*23</f>
        <v>26.45</v>
      </c>
      <c r="G222" s="2" t="s">
        <v>52</v>
      </c>
      <c r="H222" s="18"/>
      <c r="I222" s="18"/>
    </row>
    <row r="223" spans="1:9" x14ac:dyDescent="0.3">
      <c r="A223" s="33"/>
      <c r="B223" s="5">
        <v>45941</v>
      </c>
      <c r="C223" s="18"/>
      <c r="D223" s="58" t="s">
        <v>219</v>
      </c>
      <c r="E223" s="58">
        <v>1.66</v>
      </c>
      <c r="F223" s="58">
        <f>E223*23</f>
        <v>38.18</v>
      </c>
      <c r="G223" s="2" t="s">
        <v>52</v>
      </c>
      <c r="H223" s="18"/>
      <c r="I223" s="18"/>
    </row>
    <row r="224" spans="1:9" x14ac:dyDescent="0.3">
      <c r="A224" s="33"/>
      <c r="B224" s="5">
        <v>45941</v>
      </c>
      <c r="C224" s="18"/>
      <c r="D224" s="58" t="s">
        <v>87</v>
      </c>
      <c r="E224" s="58">
        <v>2</v>
      </c>
      <c r="F224" s="58">
        <f>E224*23</f>
        <v>46</v>
      </c>
      <c r="G224" s="2" t="s">
        <v>52</v>
      </c>
      <c r="H224" s="18"/>
      <c r="I224" s="18"/>
    </row>
    <row r="225" spans="1:9" x14ac:dyDescent="0.3">
      <c r="A225" s="33"/>
      <c r="B225" s="5">
        <v>45941</v>
      </c>
      <c r="C225" s="18"/>
      <c r="D225" s="58" t="s">
        <v>220</v>
      </c>
      <c r="E225" s="58">
        <v>3.9</v>
      </c>
      <c r="F225" s="58">
        <f>E225*23</f>
        <v>89.7</v>
      </c>
      <c r="G225" s="2" t="s">
        <v>52</v>
      </c>
      <c r="H225" s="18"/>
      <c r="I225" s="18"/>
    </row>
    <row r="226" spans="1:9" x14ac:dyDescent="0.3">
      <c r="A226" s="33"/>
      <c r="B226" s="5">
        <v>45941</v>
      </c>
      <c r="C226" s="18"/>
      <c r="D226" s="58" t="s">
        <v>203</v>
      </c>
      <c r="E226" s="58">
        <v>1.45</v>
      </c>
      <c r="F226" s="58">
        <f>E226*23</f>
        <v>33.35</v>
      </c>
      <c r="G226" s="2" t="s">
        <v>52</v>
      </c>
      <c r="H226" s="18"/>
      <c r="I226" s="18"/>
    </row>
    <row r="227" spans="1:9" x14ac:dyDescent="0.3">
      <c r="A227" s="33"/>
      <c r="B227" s="5">
        <v>45941</v>
      </c>
      <c r="C227" s="18"/>
      <c r="D227" s="58" t="s">
        <v>212</v>
      </c>
      <c r="E227" s="58">
        <v>2.5</v>
      </c>
      <c r="F227" s="58">
        <f>E227*23</f>
        <v>57.5</v>
      </c>
      <c r="G227" s="2" t="s">
        <v>52</v>
      </c>
      <c r="H227" s="18"/>
      <c r="I227" s="18"/>
    </row>
    <row r="228" spans="1:9" x14ac:dyDescent="0.3">
      <c r="A228" s="33"/>
      <c r="B228" s="5">
        <v>45941</v>
      </c>
      <c r="C228" s="18"/>
      <c r="D228" s="58" t="s">
        <v>127</v>
      </c>
      <c r="E228" s="58">
        <v>6.5</v>
      </c>
      <c r="F228" s="58">
        <f>E228*23</f>
        <v>149.5</v>
      </c>
      <c r="G228" s="2" t="s">
        <v>52</v>
      </c>
      <c r="H228" s="18"/>
      <c r="I228" s="18"/>
    </row>
    <row r="229" spans="1:9" x14ac:dyDescent="0.3">
      <c r="A229" s="33"/>
      <c r="B229" s="5">
        <v>45941</v>
      </c>
      <c r="C229" s="18"/>
      <c r="D229" s="58" t="s">
        <v>23</v>
      </c>
      <c r="E229" s="58">
        <v>2.85</v>
      </c>
      <c r="F229" s="58">
        <f>E229*23</f>
        <v>65.55</v>
      </c>
      <c r="G229" s="2" t="s">
        <v>55</v>
      </c>
      <c r="H229" s="18"/>
      <c r="I229" s="18"/>
    </row>
    <row r="230" spans="1:9" x14ac:dyDescent="0.3">
      <c r="A230" s="33"/>
      <c r="B230" s="5">
        <v>45941</v>
      </c>
      <c r="C230" s="18"/>
      <c r="D230" s="58" t="s">
        <v>221</v>
      </c>
      <c r="E230" s="58">
        <v>2.4500000000000002</v>
      </c>
      <c r="F230" s="58">
        <f>E230*23</f>
        <v>56.35</v>
      </c>
      <c r="G230" s="2"/>
      <c r="H230" s="18"/>
      <c r="I230" s="18"/>
    </row>
    <row r="231" spans="1:9" x14ac:dyDescent="0.3">
      <c r="A231" s="33"/>
      <c r="B231" s="5">
        <v>45941</v>
      </c>
      <c r="C231" s="18"/>
      <c r="D231" s="58" t="s">
        <v>222</v>
      </c>
      <c r="E231" s="58">
        <v>2.0299999999999998</v>
      </c>
      <c r="F231" s="58">
        <f>E231*23</f>
        <v>46.69</v>
      </c>
      <c r="G231" s="2"/>
      <c r="H231" s="18"/>
      <c r="I231" s="18"/>
    </row>
    <row r="232" spans="1:9" x14ac:dyDescent="0.3">
      <c r="A232" s="33"/>
      <c r="B232" s="5">
        <v>45941</v>
      </c>
      <c r="C232" s="18"/>
      <c r="D232" s="58" t="s">
        <v>218</v>
      </c>
      <c r="E232" s="58">
        <v>5.16</v>
      </c>
      <c r="F232" s="58">
        <f>E232*23</f>
        <v>118.68</v>
      </c>
      <c r="G232" s="2"/>
      <c r="H232" s="18"/>
      <c r="I232" s="18"/>
    </row>
    <row r="233" spans="1:9" x14ac:dyDescent="0.3">
      <c r="A233" s="33"/>
      <c r="B233" s="5">
        <v>45941</v>
      </c>
      <c r="C233" s="18"/>
      <c r="D233" s="58" t="s">
        <v>223</v>
      </c>
      <c r="E233" s="58">
        <v>3.19</v>
      </c>
      <c r="F233" s="58">
        <f>E233*23</f>
        <v>73.37</v>
      </c>
      <c r="G233" s="2" t="s">
        <v>74</v>
      </c>
      <c r="H233" s="18"/>
      <c r="I233" s="18"/>
    </row>
    <row r="234" spans="1:9" x14ac:dyDescent="0.3">
      <c r="A234" s="33"/>
      <c r="B234" s="5">
        <v>45941</v>
      </c>
      <c r="C234" s="18"/>
      <c r="D234" s="58" t="s">
        <v>224</v>
      </c>
      <c r="E234" s="58">
        <v>4.05</v>
      </c>
      <c r="F234" s="58">
        <f>E234*23</f>
        <v>93.149999999999991</v>
      </c>
      <c r="G234" s="2"/>
      <c r="H234" s="18"/>
      <c r="I234" s="18"/>
    </row>
    <row r="235" spans="1:9" x14ac:dyDescent="0.3">
      <c r="A235" s="33"/>
      <c r="B235" s="4">
        <v>45942</v>
      </c>
      <c r="C235" s="18"/>
      <c r="D235" s="58" t="s">
        <v>126</v>
      </c>
      <c r="E235" s="58">
        <v>2.69</v>
      </c>
      <c r="F235" s="58">
        <f>E235*23</f>
        <v>61.87</v>
      </c>
      <c r="G235" s="2" t="s">
        <v>49</v>
      </c>
      <c r="H235" s="18"/>
      <c r="I235" s="18"/>
    </row>
    <row r="236" spans="1:9" x14ac:dyDescent="0.3">
      <c r="A236" s="33"/>
      <c r="B236" s="5">
        <v>45944</v>
      </c>
      <c r="C236" s="18"/>
      <c r="D236" s="58" t="s">
        <v>45</v>
      </c>
      <c r="E236" s="58">
        <v>1.49</v>
      </c>
      <c r="F236" s="58">
        <f>E236*23</f>
        <v>34.270000000000003</v>
      </c>
      <c r="G236" s="2" t="s">
        <v>55</v>
      </c>
      <c r="H236" s="18"/>
      <c r="I236" s="18"/>
    </row>
    <row r="237" spans="1:9" x14ac:dyDescent="0.3">
      <c r="A237" s="33"/>
      <c r="B237" s="5">
        <v>45944</v>
      </c>
      <c r="C237" s="18"/>
      <c r="D237" s="58" t="s">
        <v>14</v>
      </c>
      <c r="E237" s="58">
        <v>5.69</v>
      </c>
      <c r="F237" s="58">
        <f>E237*23</f>
        <v>130.87</v>
      </c>
      <c r="G237" s="2"/>
      <c r="H237" s="18"/>
      <c r="I237" s="18"/>
    </row>
    <row r="238" spans="1:9" x14ac:dyDescent="0.3">
      <c r="A238" s="33"/>
      <c r="B238" s="5">
        <v>45944</v>
      </c>
      <c r="C238" s="18"/>
      <c r="D238" s="58" t="s">
        <v>41</v>
      </c>
      <c r="E238" s="58">
        <v>3.84</v>
      </c>
      <c r="F238" s="58">
        <f>E238*23</f>
        <v>88.32</v>
      </c>
      <c r="G238" s="2"/>
      <c r="H238" s="18"/>
      <c r="I238" s="18"/>
    </row>
    <row r="239" spans="1:9" x14ac:dyDescent="0.3">
      <c r="A239" s="33"/>
      <c r="B239" s="5">
        <v>45944</v>
      </c>
      <c r="C239" s="18"/>
      <c r="D239" s="58" t="s">
        <v>64</v>
      </c>
      <c r="E239" s="58">
        <v>2.02</v>
      </c>
      <c r="F239" s="58">
        <f>E239*23</f>
        <v>46.46</v>
      </c>
      <c r="G239" s="2" t="s">
        <v>74</v>
      </c>
      <c r="H239" s="18"/>
      <c r="I239" s="18"/>
    </row>
    <row r="240" spans="1:9" x14ac:dyDescent="0.3">
      <c r="A240" s="33"/>
      <c r="B240" s="5">
        <v>45944</v>
      </c>
      <c r="C240" s="18"/>
      <c r="D240" s="58" t="s">
        <v>225</v>
      </c>
      <c r="E240" s="58">
        <v>8.5</v>
      </c>
      <c r="F240" s="58">
        <f>E240*23</f>
        <v>195.5</v>
      </c>
      <c r="G240" s="2"/>
      <c r="H240" s="18"/>
      <c r="I240" s="18"/>
    </row>
    <row r="241" spans="1:9" x14ac:dyDescent="0.3">
      <c r="A241" s="33"/>
      <c r="B241" s="4">
        <v>45945</v>
      </c>
      <c r="C241" s="18"/>
      <c r="D241" s="58" t="s">
        <v>162</v>
      </c>
      <c r="E241" s="58">
        <v>0.75</v>
      </c>
      <c r="F241" s="58">
        <f>E241*23</f>
        <v>17.25</v>
      </c>
      <c r="G241" s="2" t="s">
        <v>55</v>
      </c>
      <c r="H241" s="18"/>
      <c r="I241" s="18"/>
    </row>
    <row r="242" spans="1:9" x14ac:dyDescent="0.3">
      <c r="A242" s="33"/>
      <c r="B242" s="4">
        <v>45945</v>
      </c>
      <c r="C242" s="18"/>
      <c r="D242" s="58" t="s">
        <v>161</v>
      </c>
      <c r="E242" s="58">
        <v>0.8</v>
      </c>
      <c r="F242" s="58">
        <f>E242*23</f>
        <v>18.400000000000002</v>
      </c>
      <c r="G242" s="2"/>
      <c r="H242" s="18"/>
      <c r="I242" s="18"/>
    </row>
    <row r="243" spans="1:9" x14ac:dyDescent="0.3">
      <c r="A243" s="33"/>
      <c r="B243" s="4">
        <v>45945</v>
      </c>
      <c r="C243" s="18"/>
      <c r="D243" s="58" t="s">
        <v>218</v>
      </c>
      <c r="E243" s="58">
        <v>1.99</v>
      </c>
      <c r="F243" s="58">
        <f>E243*23</f>
        <v>45.77</v>
      </c>
      <c r="G243" s="2"/>
      <c r="H243" s="18"/>
      <c r="I243" s="18"/>
    </row>
    <row r="244" spans="1:9" x14ac:dyDescent="0.3">
      <c r="A244" s="33"/>
      <c r="B244" s="4">
        <v>45945</v>
      </c>
      <c r="C244" s="18"/>
      <c r="D244" s="58" t="s">
        <v>213</v>
      </c>
      <c r="E244" s="58">
        <v>0.59</v>
      </c>
      <c r="F244" s="58">
        <f>E244*23</f>
        <v>13.569999999999999</v>
      </c>
      <c r="G244" s="2"/>
      <c r="H244" s="18"/>
      <c r="I244" s="18"/>
    </row>
    <row r="245" spans="1:9" x14ac:dyDescent="0.3">
      <c r="A245" s="33"/>
      <c r="B245" s="4">
        <v>45945</v>
      </c>
      <c r="C245" s="18"/>
      <c r="D245" s="58" t="s">
        <v>41</v>
      </c>
      <c r="E245" s="58">
        <v>4.66</v>
      </c>
      <c r="F245" s="58">
        <f>E245*23</f>
        <v>107.18</v>
      </c>
      <c r="G245" s="2"/>
      <c r="H245" s="18"/>
      <c r="I245" s="18"/>
    </row>
    <row r="246" spans="1:9" x14ac:dyDescent="0.3">
      <c r="A246" s="33"/>
      <c r="B246" s="4">
        <v>45945</v>
      </c>
      <c r="C246" s="18"/>
      <c r="D246" s="58" t="s">
        <v>30</v>
      </c>
      <c r="E246" s="58">
        <v>1.25</v>
      </c>
      <c r="F246" s="58">
        <f>E246*23</f>
        <v>28.75</v>
      </c>
      <c r="G246" s="2" t="s">
        <v>49</v>
      </c>
      <c r="H246" s="18"/>
      <c r="I246" s="18"/>
    </row>
    <row r="247" spans="1:9" x14ac:dyDescent="0.3">
      <c r="A247" s="33"/>
      <c r="B247" s="5">
        <v>45947</v>
      </c>
      <c r="C247" s="18"/>
      <c r="D247" s="58" t="s">
        <v>226</v>
      </c>
      <c r="E247" s="58">
        <v>4.55</v>
      </c>
      <c r="F247" s="58">
        <f>E247*23</f>
        <v>104.64999999999999</v>
      </c>
      <c r="G247" s="2" t="s">
        <v>227</v>
      </c>
      <c r="H247" s="18"/>
      <c r="I247" s="18"/>
    </row>
    <row r="248" spans="1:9" x14ac:dyDescent="0.3">
      <c r="A248" s="33"/>
      <c r="B248" s="5">
        <v>45947</v>
      </c>
      <c r="C248" s="18"/>
      <c r="D248" s="58" t="s">
        <v>256</v>
      </c>
      <c r="E248" s="58">
        <v>7</v>
      </c>
      <c r="F248" s="58">
        <f>E248*23</f>
        <v>161</v>
      </c>
      <c r="G248" s="2" t="s">
        <v>257</v>
      </c>
      <c r="H248" s="18"/>
      <c r="I248" s="18"/>
    </row>
    <row r="249" spans="1:9" x14ac:dyDescent="0.3">
      <c r="A249" s="34" t="s">
        <v>258</v>
      </c>
      <c r="B249" s="4">
        <v>45948</v>
      </c>
      <c r="C249" s="18"/>
      <c r="D249" s="58" t="s">
        <v>228</v>
      </c>
      <c r="E249" s="58">
        <v>2.15</v>
      </c>
      <c r="F249" s="58">
        <f>E249*23</f>
        <v>49.449999999999996</v>
      </c>
      <c r="G249" s="2" t="s">
        <v>55</v>
      </c>
      <c r="H249" s="18"/>
      <c r="I249" s="18"/>
    </row>
    <row r="250" spans="1:9" x14ac:dyDescent="0.3">
      <c r="A250" s="34"/>
      <c r="B250" s="4">
        <v>45948</v>
      </c>
      <c r="C250" s="18"/>
      <c r="D250" s="58" t="s">
        <v>229</v>
      </c>
      <c r="E250" s="58">
        <v>2.29</v>
      </c>
      <c r="F250" s="58">
        <f>E250*23</f>
        <v>52.67</v>
      </c>
      <c r="G250" s="2"/>
      <c r="H250" s="18"/>
      <c r="I250" s="18"/>
    </row>
    <row r="251" spans="1:9" x14ac:dyDescent="0.3">
      <c r="A251" s="34"/>
      <c r="B251" s="4">
        <v>45948</v>
      </c>
      <c r="C251" s="18"/>
      <c r="D251" s="58" t="s">
        <v>45</v>
      </c>
      <c r="E251" s="58">
        <v>1.49</v>
      </c>
      <c r="F251" s="58">
        <f>E251*23</f>
        <v>34.270000000000003</v>
      </c>
      <c r="G251" s="2"/>
      <c r="H251" s="18"/>
      <c r="I251" s="18"/>
    </row>
    <row r="252" spans="1:9" x14ac:dyDescent="0.3">
      <c r="A252" s="34"/>
      <c r="B252" s="4">
        <v>45948</v>
      </c>
      <c r="C252" s="18"/>
      <c r="D252" s="58" t="s">
        <v>230</v>
      </c>
      <c r="E252" s="58">
        <v>4.66</v>
      </c>
      <c r="F252" s="58">
        <f>E252*23</f>
        <v>107.18</v>
      </c>
      <c r="G252" s="2"/>
      <c r="H252" s="18"/>
      <c r="I252" s="18"/>
    </row>
    <row r="253" spans="1:9" x14ac:dyDescent="0.3">
      <c r="A253" s="34"/>
      <c r="B253" s="4">
        <v>45948</v>
      </c>
      <c r="C253" s="18"/>
      <c r="D253" s="58" t="s">
        <v>121</v>
      </c>
      <c r="E253" s="58">
        <v>1.1499999999999999</v>
      </c>
      <c r="F253" s="58">
        <f>E253*23</f>
        <v>26.45</v>
      </c>
      <c r="G253" s="2" t="s">
        <v>52</v>
      </c>
      <c r="H253" s="18"/>
      <c r="I253" s="18"/>
    </row>
    <row r="254" spans="1:9" x14ac:dyDescent="0.3">
      <c r="A254" s="34"/>
      <c r="B254" s="4">
        <v>45948</v>
      </c>
      <c r="C254" s="18"/>
      <c r="D254" s="58" t="s">
        <v>203</v>
      </c>
      <c r="E254" s="58">
        <v>1.45</v>
      </c>
      <c r="F254" s="58">
        <f>E254*23</f>
        <v>33.35</v>
      </c>
      <c r="G254" s="2"/>
      <c r="H254" s="18"/>
      <c r="I254" s="18"/>
    </row>
    <row r="255" spans="1:9" x14ac:dyDescent="0.3">
      <c r="A255" s="34"/>
      <c r="B255" s="4">
        <v>45948</v>
      </c>
      <c r="C255" s="18"/>
      <c r="D255" s="58" t="s">
        <v>87</v>
      </c>
      <c r="E255" s="58">
        <v>2</v>
      </c>
      <c r="F255" s="58">
        <f>E255*23</f>
        <v>46</v>
      </c>
      <c r="G255" s="2"/>
      <c r="H255" s="18"/>
      <c r="I255" s="18"/>
    </row>
    <row r="256" spans="1:9" x14ac:dyDescent="0.3">
      <c r="A256" s="34"/>
      <c r="B256" s="5">
        <v>45949</v>
      </c>
      <c r="C256" s="18"/>
      <c r="D256" s="58" t="s">
        <v>30</v>
      </c>
      <c r="E256" s="58">
        <v>1.25</v>
      </c>
      <c r="F256" s="58">
        <f>E256*23</f>
        <v>28.75</v>
      </c>
      <c r="G256" s="2" t="s">
        <v>49</v>
      </c>
      <c r="H256" s="18"/>
      <c r="I256" s="18"/>
    </row>
    <row r="257" spans="1:9" x14ac:dyDescent="0.3">
      <c r="A257" s="34"/>
      <c r="B257" s="4">
        <v>45950</v>
      </c>
      <c r="C257" s="18"/>
      <c r="D257" s="58" t="s">
        <v>231</v>
      </c>
      <c r="E257" s="58">
        <v>1.2</v>
      </c>
      <c r="F257" s="58">
        <f>E257*23</f>
        <v>27.599999999999998</v>
      </c>
      <c r="G257" s="2" t="s">
        <v>55</v>
      </c>
      <c r="H257" s="18"/>
      <c r="I257" s="18"/>
    </row>
    <row r="258" spans="1:9" x14ac:dyDescent="0.3">
      <c r="A258" s="34"/>
      <c r="B258" s="4">
        <v>45950</v>
      </c>
      <c r="C258" s="18"/>
      <c r="D258" s="58" t="s">
        <v>218</v>
      </c>
      <c r="E258" s="58">
        <v>4.66</v>
      </c>
      <c r="F258" s="58">
        <f>E258*23</f>
        <v>107.18</v>
      </c>
      <c r="G258" s="2"/>
      <c r="H258" s="18"/>
      <c r="I258" s="18"/>
    </row>
    <row r="259" spans="1:9" x14ac:dyDescent="0.3">
      <c r="A259" s="34"/>
      <c r="B259" s="4">
        <v>45950</v>
      </c>
      <c r="C259" s="18"/>
      <c r="D259" s="58" t="s">
        <v>41</v>
      </c>
      <c r="E259" s="58">
        <v>3.52</v>
      </c>
      <c r="F259" s="58">
        <f>E259*23</f>
        <v>80.959999999999994</v>
      </c>
      <c r="G259" s="2"/>
      <c r="H259" s="18"/>
      <c r="I259" s="18"/>
    </row>
    <row r="260" spans="1:9" x14ac:dyDescent="0.3">
      <c r="A260" s="34"/>
      <c r="B260" s="4">
        <v>45950</v>
      </c>
      <c r="C260" s="18"/>
      <c r="D260" s="58" t="s">
        <v>41</v>
      </c>
      <c r="E260" s="58">
        <v>3.4</v>
      </c>
      <c r="F260" s="58">
        <f>E260*23</f>
        <v>78.2</v>
      </c>
      <c r="G260" s="2"/>
      <c r="H260" s="18"/>
      <c r="I260" s="18"/>
    </row>
    <row r="261" spans="1:9" x14ac:dyDescent="0.3">
      <c r="A261" s="34"/>
      <c r="B261" s="4">
        <v>45950</v>
      </c>
      <c r="C261" s="18"/>
      <c r="D261" s="58" t="s">
        <v>233</v>
      </c>
      <c r="E261" s="58">
        <v>1.79</v>
      </c>
      <c r="F261" s="58">
        <f>E261*23</f>
        <v>41.17</v>
      </c>
      <c r="G261" s="2"/>
      <c r="H261" s="18"/>
      <c r="I261" s="18"/>
    </row>
    <row r="262" spans="1:9" x14ac:dyDescent="0.3">
      <c r="A262" s="34"/>
      <c r="B262" s="4">
        <v>45950</v>
      </c>
      <c r="C262" s="18"/>
      <c r="D262" s="58" t="s">
        <v>42</v>
      </c>
      <c r="E262" s="58">
        <v>1.38</v>
      </c>
      <c r="F262" s="58">
        <f>E262*23</f>
        <v>31.74</v>
      </c>
      <c r="G262" s="2"/>
      <c r="H262" s="18"/>
      <c r="I262" s="18"/>
    </row>
    <row r="263" spans="1:9" x14ac:dyDescent="0.3">
      <c r="A263" s="34"/>
      <c r="B263" s="4">
        <v>45950</v>
      </c>
      <c r="C263" s="18"/>
      <c r="D263" s="58" t="s">
        <v>232</v>
      </c>
      <c r="E263" s="58">
        <v>1.25</v>
      </c>
      <c r="F263" s="58">
        <f>E263*23</f>
        <v>28.75</v>
      </c>
      <c r="G263" s="2" t="s">
        <v>52</v>
      </c>
      <c r="H263" s="18"/>
      <c r="I263" s="18"/>
    </row>
    <row r="264" spans="1:9" x14ac:dyDescent="0.3">
      <c r="A264" s="34"/>
      <c r="B264" s="4">
        <v>45950</v>
      </c>
      <c r="C264" s="18"/>
      <c r="D264" s="58" t="s">
        <v>213</v>
      </c>
      <c r="E264" s="58">
        <v>1.06</v>
      </c>
      <c r="F264" s="58">
        <f>E264*23</f>
        <v>24.380000000000003</v>
      </c>
      <c r="G264" s="2"/>
      <c r="H264" s="18"/>
      <c r="I264" s="18"/>
    </row>
    <row r="265" spans="1:9" x14ac:dyDescent="0.3">
      <c r="A265" s="34"/>
      <c r="B265" s="4">
        <v>45950</v>
      </c>
      <c r="C265" s="18"/>
      <c r="D265" s="58" t="s">
        <v>249</v>
      </c>
      <c r="E265" s="58">
        <f>F265/23</f>
        <v>3.8913043478260869</v>
      </c>
      <c r="F265" s="58">
        <v>89.5</v>
      </c>
      <c r="G265" s="2"/>
      <c r="H265" s="18"/>
      <c r="I265" s="18"/>
    </row>
    <row r="266" spans="1:9" x14ac:dyDescent="0.3">
      <c r="A266" s="34"/>
      <c r="B266" s="5">
        <v>45951</v>
      </c>
      <c r="C266" s="18"/>
      <c r="D266" s="58" t="s">
        <v>14</v>
      </c>
      <c r="E266" s="58">
        <v>5.69</v>
      </c>
      <c r="F266" s="58">
        <f>E266*23</f>
        <v>130.87</v>
      </c>
      <c r="G266" s="2" t="s">
        <v>55</v>
      </c>
      <c r="H266" s="18"/>
      <c r="I266" s="18"/>
    </row>
    <row r="267" spans="1:9" x14ac:dyDescent="0.3">
      <c r="A267" s="34"/>
      <c r="B267" s="5">
        <v>45951</v>
      </c>
      <c r="C267" s="18"/>
      <c r="D267" s="58" t="s">
        <v>30</v>
      </c>
      <c r="E267" s="58">
        <v>1.25</v>
      </c>
      <c r="F267" s="58">
        <f>E267*23</f>
        <v>28.75</v>
      </c>
      <c r="G267" s="2" t="s">
        <v>49</v>
      </c>
      <c r="H267" s="18"/>
      <c r="I267" s="18"/>
    </row>
    <row r="268" spans="1:9" x14ac:dyDescent="0.3">
      <c r="A268" s="34"/>
      <c r="B268" s="5">
        <v>45951</v>
      </c>
      <c r="C268" s="18"/>
      <c r="D268" s="58" t="s">
        <v>65</v>
      </c>
      <c r="E268" s="58">
        <v>2.17</v>
      </c>
      <c r="F268" s="58">
        <f>E268*23</f>
        <v>49.91</v>
      </c>
      <c r="G268" s="2" t="s">
        <v>74</v>
      </c>
      <c r="H268" s="18"/>
      <c r="I268" s="18"/>
    </row>
    <row r="269" spans="1:9" x14ac:dyDescent="0.3">
      <c r="A269" s="34"/>
      <c r="B269" s="5">
        <v>45951</v>
      </c>
      <c r="C269" s="18"/>
      <c r="D269" s="58" t="s">
        <v>15</v>
      </c>
      <c r="E269" s="58">
        <v>5.35</v>
      </c>
      <c r="F269" s="58">
        <f>E269*23</f>
        <v>123.05</v>
      </c>
      <c r="G269" s="2"/>
      <c r="H269" s="18"/>
      <c r="I269" s="18"/>
    </row>
    <row r="270" spans="1:9" x14ac:dyDescent="0.3">
      <c r="A270" s="34"/>
      <c r="B270" s="5">
        <v>45951</v>
      </c>
      <c r="C270" s="18"/>
      <c r="D270" s="58" t="s">
        <v>234</v>
      </c>
      <c r="E270" s="2">
        <v>4.08</v>
      </c>
      <c r="F270" s="58">
        <f t="shared" ref="F270:F302" si="4">E270*23</f>
        <v>93.84</v>
      </c>
      <c r="G270" s="2"/>
      <c r="H270" s="18"/>
      <c r="I270" s="18"/>
    </row>
    <row r="271" spans="1:9" x14ac:dyDescent="0.3">
      <c r="A271" s="34"/>
      <c r="B271" s="5">
        <v>45951</v>
      </c>
      <c r="C271" s="18"/>
      <c r="D271" s="58" t="s">
        <v>235</v>
      </c>
      <c r="E271" s="2">
        <v>2.4900000000000002</v>
      </c>
      <c r="F271" s="58">
        <f t="shared" si="4"/>
        <v>57.27</v>
      </c>
      <c r="G271" s="2"/>
      <c r="H271" s="18"/>
      <c r="I271" s="18"/>
    </row>
    <row r="272" spans="1:9" x14ac:dyDescent="0.3">
      <c r="A272" s="34"/>
      <c r="B272" s="4">
        <v>45952</v>
      </c>
      <c r="C272" s="18"/>
      <c r="D272" s="58" t="s">
        <v>236</v>
      </c>
      <c r="E272" s="2">
        <v>1.29</v>
      </c>
      <c r="F272" s="58">
        <f t="shared" si="4"/>
        <v>29.67</v>
      </c>
      <c r="G272" s="2" t="s">
        <v>49</v>
      </c>
      <c r="H272" s="18"/>
      <c r="I272" s="18"/>
    </row>
    <row r="273" spans="1:9" x14ac:dyDescent="0.3">
      <c r="A273" s="34"/>
      <c r="B273" s="5">
        <v>45953</v>
      </c>
      <c r="C273" s="18"/>
      <c r="D273" s="58" t="s">
        <v>87</v>
      </c>
      <c r="E273" s="2">
        <v>3.15</v>
      </c>
      <c r="F273" s="58">
        <f t="shared" si="4"/>
        <v>72.45</v>
      </c>
      <c r="G273" s="2" t="s">
        <v>49</v>
      </c>
      <c r="H273" s="18"/>
      <c r="I273" s="18"/>
    </row>
    <row r="274" spans="1:9" x14ac:dyDescent="0.3">
      <c r="A274" s="34"/>
      <c r="B274" s="4">
        <v>45954</v>
      </c>
      <c r="C274" s="18"/>
      <c r="D274" s="58" t="s">
        <v>162</v>
      </c>
      <c r="E274" s="2">
        <v>0.75</v>
      </c>
      <c r="F274" s="58">
        <f t="shared" si="4"/>
        <v>17.25</v>
      </c>
      <c r="G274" s="2" t="s">
        <v>55</v>
      </c>
      <c r="H274" s="18"/>
      <c r="I274" s="18"/>
    </row>
    <row r="275" spans="1:9" x14ac:dyDescent="0.3">
      <c r="A275" s="34"/>
      <c r="B275" s="4">
        <v>45954</v>
      </c>
      <c r="C275" s="18"/>
      <c r="D275" s="58" t="s">
        <v>102</v>
      </c>
      <c r="E275" s="2">
        <v>3.98</v>
      </c>
      <c r="F275" s="58">
        <f t="shared" si="4"/>
        <v>91.54</v>
      </c>
      <c r="G275" s="2"/>
      <c r="H275" s="18"/>
      <c r="I275" s="18"/>
    </row>
    <row r="276" spans="1:9" x14ac:dyDescent="0.3">
      <c r="A276" s="33"/>
      <c r="B276" s="5">
        <v>45955</v>
      </c>
      <c r="C276" s="18"/>
      <c r="D276" s="58" t="s">
        <v>237</v>
      </c>
      <c r="E276" s="2">
        <v>0.9</v>
      </c>
      <c r="F276" s="58">
        <f t="shared" si="4"/>
        <v>20.7</v>
      </c>
      <c r="G276" s="2" t="s">
        <v>55</v>
      </c>
      <c r="H276" s="18"/>
      <c r="I276" s="18"/>
    </row>
    <row r="277" spans="1:9" x14ac:dyDescent="0.3">
      <c r="A277" s="33"/>
      <c r="B277" s="5">
        <v>45955</v>
      </c>
      <c r="C277" s="18"/>
      <c r="D277" s="58" t="s">
        <v>14</v>
      </c>
      <c r="E277" s="2">
        <v>5.69</v>
      </c>
      <c r="F277" s="58">
        <f t="shared" si="4"/>
        <v>130.87</v>
      </c>
      <c r="G277" s="2"/>
      <c r="H277" s="18"/>
      <c r="I277" s="18"/>
    </row>
    <row r="278" spans="1:9" x14ac:dyDescent="0.3">
      <c r="A278" s="33"/>
      <c r="B278" s="5">
        <v>45955</v>
      </c>
      <c r="C278" s="18"/>
      <c r="D278" s="58" t="s">
        <v>238</v>
      </c>
      <c r="E278" s="2">
        <v>1.88</v>
      </c>
      <c r="F278" s="58">
        <f t="shared" si="4"/>
        <v>43.239999999999995</v>
      </c>
      <c r="G278" s="2"/>
      <c r="H278" s="18"/>
      <c r="I278" s="18"/>
    </row>
    <row r="279" spans="1:9" x14ac:dyDescent="0.3">
      <c r="A279" s="33"/>
      <c r="B279" s="5">
        <v>45955</v>
      </c>
      <c r="C279" s="18"/>
      <c r="D279" s="58" t="s">
        <v>239</v>
      </c>
      <c r="E279" s="2">
        <v>1.75</v>
      </c>
      <c r="F279" s="58">
        <f t="shared" si="4"/>
        <v>40.25</v>
      </c>
      <c r="G279" s="2"/>
      <c r="H279" s="18"/>
      <c r="I279" s="18"/>
    </row>
    <row r="280" spans="1:9" x14ac:dyDescent="0.3">
      <c r="A280" s="33"/>
      <c r="B280" s="5">
        <v>45955</v>
      </c>
      <c r="C280" s="18"/>
      <c r="D280" s="58" t="s">
        <v>240</v>
      </c>
      <c r="E280" s="2">
        <v>2.4900000000000002</v>
      </c>
      <c r="F280" s="58">
        <f t="shared" si="4"/>
        <v>57.27</v>
      </c>
      <c r="G280" s="2"/>
      <c r="H280" s="18"/>
      <c r="I280" s="18"/>
    </row>
    <row r="281" spans="1:9" x14ac:dyDescent="0.3">
      <c r="A281" s="33"/>
      <c r="B281" s="5">
        <v>45955</v>
      </c>
      <c r="C281" s="18"/>
      <c r="D281" s="58" t="s">
        <v>218</v>
      </c>
      <c r="E281" s="2">
        <v>1.99</v>
      </c>
      <c r="F281" s="58">
        <f t="shared" si="4"/>
        <v>45.77</v>
      </c>
      <c r="G281" s="2"/>
      <c r="H281" s="18"/>
      <c r="I281" s="18"/>
    </row>
    <row r="282" spans="1:9" x14ac:dyDescent="0.3">
      <c r="A282" s="33"/>
      <c r="B282" s="5">
        <v>45955</v>
      </c>
      <c r="C282" s="18"/>
      <c r="D282" s="58" t="s">
        <v>124</v>
      </c>
      <c r="E282" s="2">
        <v>3.39</v>
      </c>
      <c r="F282" s="58">
        <f t="shared" si="4"/>
        <v>77.97</v>
      </c>
      <c r="G282" s="2"/>
      <c r="H282" s="18"/>
      <c r="I282" s="18"/>
    </row>
    <row r="283" spans="1:9" x14ac:dyDescent="0.3">
      <c r="A283" s="33"/>
      <c r="B283" s="5">
        <v>45955</v>
      </c>
      <c r="C283" s="18"/>
      <c r="D283" s="58" t="s">
        <v>241</v>
      </c>
      <c r="E283" s="2">
        <v>1.0900000000000001</v>
      </c>
      <c r="F283" s="58">
        <f t="shared" si="4"/>
        <v>25.07</v>
      </c>
      <c r="G283" s="2"/>
      <c r="H283" s="18"/>
      <c r="I283" s="18"/>
    </row>
    <row r="284" spans="1:9" x14ac:dyDescent="0.3">
      <c r="A284" s="33"/>
      <c r="B284" s="5">
        <v>45955</v>
      </c>
      <c r="C284" s="18"/>
      <c r="D284" s="58" t="s">
        <v>206</v>
      </c>
      <c r="E284" s="2">
        <v>2.98</v>
      </c>
      <c r="F284" s="58">
        <f t="shared" si="4"/>
        <v>68.540000000000006</v>
      </c>
      <c r="G284" s="2"/>
      <c r="H284" s="18"/>
      <c r="I284" s="18"/>
    </row>
    <row r="285" spans="1:9" x14ac:dyDescent="0.3">
      <c r="A285" s="33"/>
      <c r="B285" s="5">
        <v>45955</v>
      </c>
      <c r="C285" s="18"/>
      <c r="D285" s="58" t="s">
        <v>242</v>
      </c>
      <c r="E285" s="2">
        <v>4.79</v>
      </c>
      <c r="F285" s="58">
        <f t="shared" si="4"/>
        <v>110.17</v>
      </c>
      <c r="G285" s="2"/>
      <c r="H285" s="18"/>
      <c r="I285" s="18"/>
    </row>
    <row r="286" spans="1:9" x14ac:dyDescent="0.3">
      <c r="A286" s="33"/>
      <c r="B286" s="5">
        <v>45955</v>
      </c>
      <c r="C286" s="18"/>
      <c r="D286" s="58" t="s">
        <v>218</v>
      </c>
      <c r="E286" s="2">
        <v>4.6900000000000004</v>
      </c>
      <c r="F286" s="58">
        <f t="shared" si="4"/>
        <v>107.87</v>
      </c>
      <c r="G286" s="2"/>
      <c r="H286" s="18"/>
      <c r="I286" s="18"/>
    </row>
    <row r="287" spans="1:9" x14ac:dyDescent="0.3">
      <c r="A287" s="33"/>
      <c r="B287" s="5">
        <v>45955</v>
      </c>
      <c r="C287" s="18"/>
      <c r="D287" s="58" t="s">
        <v>41</v>
      </c>
      <c r="E287" s="2">
        <v>3.69</v>
      </c>
      <c r="F287" s="58">
        <f t="shared" si="4"/>
        <v>84.87</v>
      </c>
      <c r="G287" s="2"/>
      <c r="H287" s="18"/>
      <c r="I287" s="18"/>
    </row>
    <row r="288" spans="1:9" x14ac:dyDescent="0.3">
      <c r="A288" s="33"/>
      <c r="B288" s="5">
        <v>45955</v>
      </c>
      <c r="C288" s="18"/>
      <c r="D288" s="58" t="s">
        <v>41</v>
      </c>
      <c r="E288" s="2">
        <v>3.6</v>
      </c>
      <c r="F288" s="58">
        <f t="shared" si="4"/>
        <v>82.8</v>
      </c>
      <c r="G288" s="2"/>
      <c r="H288" s="18"/>
      <c r="I288" s="18"/>
    </row>
    <row r="289" spans="1:9" x14ac:dyDescent="0.3">
      <c r="A289" s="33"/>
      <c r="B289" s="5">
        <v>45955</v>
      </c>
      <c r="C289" s="18"/>
      <c r="D289" s="58" t="s">
        <v>204</v>
      </c>
      <c r="E289" s="2">
        <v>2.4500000000000002</v>
      </c>
      <c r="F289" s="58">
        <f t="shared" si="4"/>
        <v>56.35</v>
      </c>
      <c r="G289" s="2" t="s">
        <v>49</v>
      </c>
      <c r="H289" s="18"/>
      <c r="I289" s="18"/>
    </row>
    <row r="290" spans="1:9" x14ac:dyDescent="0.3">
      <c r="A290" s="33"/>
      <c r="B290" s="5">
        <v>45955</v>
      </c>
      <c r="C290" s="18"/>
      <c r="D290" s="58" t="s">
        <v>243</v>
      </c>
      <c r="E290" s="2">
        <v>1.85</v>
      </c>
      <c r="F290" s="58">
        <f t="shared" si="4"/>
        <v>42.550000000000004</v>
      </c>
      <c r="G290" s="2" t="s">
        <v>52</v>
      </c>
      <c r="H290" s="18"/>
      <c r="I290" s="18"/>
    </row>
    <row r="291" spans="1:9" x14ac:dyDescent="0.3">
      <c r="A291" s="33"/>
      <c r="B291" s="5">
        <v>45955</v>
      </c>
      <c r="C291" s="18"/>
      <c r="D291" s="58" t="s">
        <v>203</v>
      </c>
      <c r="E291" s="2">
        <v>1.45</v>
      </c>
      <c r="F291" s="58">
        <f t="shared" si="4"/>
        <v>33.35</v>
      </c>
      <c r="G291" s="2"/>
      <c r="H291" s="18"/>
      <c r="I291" s="18"/>
    </row>
    <row r="292" spans="1:9" x14ac:dyDescent="0.3">
      <c r="A292" s="33"/>
      <c r="B292" s="5">
        <v>45955</v>
      </c>
      <c r="C292" s="18"/>
      <c r="D292" s="58" t="s">
        <v>31</v>
      </c>
      <c r="E292" s="2">
        <v>2.2999999999999998</v>
      </c>
      <c r="F292" s="58">
        <f t="shared" si="4"/>
        <v>52.9</v>
      </c>
      <c r="G292" s="2"/>
      <c r="H292" s="18"/>
      <c r="I292" s="18"/>
    </row>
    <row r="293" spans="1:9" x14ac:dyDescent="0.3">
      <c r="A293" s="33"/>
      <c r="B293" s="5">
        <v>45955</v>
      </c>
      <c r="C293" s="18"/>
      <c r="D293" s="58" t="s">
        <v>220</v>
      </c>
      <c r="E293" s="2">
        <v>3.9</v>
      </c>
      <c r="F293" s="58">
        <f t="shared" si="4"/>
        <v>89.7</v>
      </c>
      <c r="G293" s="2"/>
      <c r="H293" s="18"/>
      <c r="I293" s="18"/>
    </row>
    <row r="294" spans="1:9" x14ac:dyDescent="0.3">
      <c r="A294" s="33"/>
      <c r="B294" s="5">
        <v>45955</v>
      </c>
      <c r="C294" s="18"/>
      <c r="D294" s="58" t="s">
        <v>213</v>
      </c>
      <c r="E294" s="2">
        <v>1.3</v>
      </c>
      <c r="F294" s="58">
        <f t="shared" si="4"/>
        <v>29.900000000000002</v>
      </c>
      <c r="G294" s="2"/>
      <c r="H294" s="18"/>
      <c r="I294" s="18"/>
    </row>
    <row r="295" spans="1:9" x14ac:dyDescent="0.3">
      <c r="A295" s="33"/>
      <c r="B295" s="5">
        <v>45955</v>
      </c>
      <c r="C295" s="18"/>
      <c r="D295" s="58" t="s">
        <v>29</v>
      </c>
      <c r="E295" s="2">
        <v>0.74</v>
      </c>
      <c r="F295" s="58">
        <f t="shared" si="4"/>
        <v>17.02</v>
      </c>
      <c r="G295" s="2"/>
      <c r="H295" s="18"/>
      <c r="I295" s="18"/>
    </row>
    <row r="296" spans="1:9" x14ac:dyDescent="0.3">
      <c r="A296" s="33"/>
      <c r="B296" s="5">
        <v>45955</v>
      </c>
      <c r="C296" s="18"/>
      <c r="D296" s="58" t="s">
        <v>18</v>
      </c>
      <c r="E296" s="2">
        <v>4.95</v>
      </c>
      <c r="F296" s="58">
        <f t="shared" si="4"/>
        <v>113.85000000000001</v>
      </c>
      <c r="G296" s="2" t="s">
        <v>74</v>
      </c>
      <c r="H296" s="18"/>
      <c r="I296" s="18"/>
    </row>
    <row r="297" spans="1:9" x14ac:dyDescent="0.3">
      <c r="A297" s="33"/>
      <c r="B297" s="5">
        <v>45955</v>
      </c>
      <c r="C297" s="18"/>
      <c r="D297" s="58" t="s">
        <v>88</v>
      </c>
      <c r="E297" s="2">
        <v>5.59</v>
      </c>
      <c r="F297" s="58">
        <f t="shared" si="4"/>
        <v>128.57</v>
      </c>
      <c r="G297" s="2"/>
      <c r="H297" s="18"/>
      <c r="I297" s="18"/>
    </row>
    <row r="298" spans="1:9" x14ac:dyDescent="0.3">
      <c r="A298" s="33"/>
      <c r="B298" s="5">
        <v>45955</v>
      </c>
      <c r="C298" s="18"/>
      <c r="D298" s="58" t="s">
        <v>244</v>
      </c>
      <c r="E298" s="2">
        <v>11</v>
      </c>
      <c r="F298" s="58">
        <f t="shared" si="4"/>
        <v>253</v>
      </c>
      <c r="G298" s="2"/>
      <c r="H298" s="18"/>
      <c r="I298" s="18"/>
    </row>
    <row r="299" spans="1:9" x14ac:dyDescent="0.3">
      <c r="A299" s="33"/>
      <c r="B299" s="4">
        <v>45956</v>
      </c>
      <c r="C299" s="18"/>
      <c r="D299" s="58" t="s">
        <v>245</v>
      </c>
      <c r="E299" s="2">
        <v>1.99</v>
      </c>
      <c r="F299" s="58">
        <f t="shared" si="4"/>
        <v>45.77</v>
      </c>
      <c r="G299" s="2" t="s">
        <v>55</v>
      </c>
      <c r="H299" s="18"/>
      <c r="I299" s="18"/>
    </row>
    <row r="300" spans="1:9" x14ac:dyDescent="0.3">
      <c r="A300" s="33"/>
      <c r="B300" s="4">
        <v>45956</v>
      </c>
      <c r="C300" s="18"/>
      <c r="D300" s="58" t="s">
        <v>246</v>
      </c>
      <c r="E300" s="2">
        <v>2.99</v>
      </c>
      <c r="F300" s="58">
        <f t="shared" si="4"/>
        <v>68.77000000000001</v>
      </c>
      <c r="G300" s="2"/>
      <c r="H300" s="18"/>
      <c r="I300" s="18"/>
    </row>
    <row r="301" spans="1:9" x14ac:dyDescent="0.3">
      <c r="A301" s="33"/>
      <c r="B301" s="4">
        <v>45956</v>
      </c>
      <c r="C301" s="18"/>
      <c r="D301" s="58" t="s">
        <v>247</v>
      </c>
      <c r="E301" s="2">
        <v>2.39</v>
      </c>
      <c r="F301" s="58">
        <f t="shared" si="4"/>
        <v>54.970000000000006</v>
      </c>
      <c r="G301" s="2"/>
      <c r="H301" s="18"/>
      <c r="I301" s="18"/>
    </row>
    <row r="302" spans="1:9" x14ac:dyDescent="0.3">
      <c r="A302" s="33"/>
      <c r="B302" s="4">
        <v>45956</v>
      </c>
      <c r="C302" s="18"/>
      <c r="D302" s="58" t="s">
        <v>248</v>
      </c>
      <c r="E302" s="2">
        <v>0.91</v>
      </c>
      <c r="F302" s="58">
        <f t="shared" si="4"/>
        <v>20.93</v>
      </c>
      <c r="G302" s="2" t="s">
        <v>56</v>
      </c>
      <c r="H302" s="18"/>
      <c r="I302" s="18"/>
    </row>
  </sheetData>
  <autoFilter ref="A1:I149" xr:uid="{00000000-0001-0000-0000-000000000000}"/>
  <mergeCells count="113">
    <mergeCell ref="A276:A302"/>
    <mergeCell ref="C191:C192"/>
    <mergeCell ref="C195:C196"/>
    <mergeCell ref="C197:C204"/>
    <mergeCell ref="C205:C214"/>
    <mergeCell ref="I147:I148"/>
    <mergeCell ref="H150:H164"/>
    <mergeCell ref="H165:H167"/>
    <mergeCell ref="H168:H169"/>
    <mergeCell ref="H171:H178"/>
    <mergeCell ref="H179:H182"/>
    <mergeCell ref="H183:H187"/>
    <mergeCell ref="H188:H190"/>
    <mergeCell ref="H147:H148"/>
    <mergeCell ref="A197:A220"/>
    <mergeCell ref="A221:A248"/>
    <mergeCell ref="A249:A275"/>
    <mergeCell ref="C150:C163"/>
    <mergeCell ref="C165:C167"/>
    <mergeCell ref="C168:C169"/>
    <mergeCell ref="C171:C178"/>
    <mergeCell ref="C179:C182"/>
    <mergeCell ref="C183:C187"/>
    <mergeCell ref="C188:C190"/>
    <mergeCell ref="A128:A149"/>
    <mergeCell ref="A150:A170"/>
    <mergeCell ref="A171:A196"/>
    <mergeCell ref="C147:C148"/>
    <mergeCell ref="A104:A127"/>
    <mergeCell ref="C123:C124"/>
    <mergeCell ref="C116:C122"/>
    <mergeCell ref="H116:H122"/>
    <mergeCell ref="H123:H124"/>
    <mergeCell ref="C125:C126"/>
    <mergeCell ref="C128:C129"/>
    <mergeCell ref="C130:C132"/>
    <mergeCell ref="C133:C143"/>
    <mergeCell ref="C144:C146"/>
    <mergeCell ref="H125:H126"/>
    <mergeCell ref="I116:I122"/>
    <mergeCell ref="C104:C112"/>
    <mergeCell ref="H104:H113"/>
    <mergeCell ref="I104:I113"/>
    <mergeCell ref="C114:C115"/>
    <mergeCell ref="H114:H115"/>
    <mergeCell ref="I114:I115"/>
    <mergeCell ref="I123:I124"/>
    <mergeCell ref="C98:C101"/>
    <mergeCell ref="H98:H101"/>
    <mergeCell ref="I98:I101"/>
    <mergeCell ref="A81:A103"/>
    <mergeCell ref="C102:C103"/>
    <mergeCell ref="H102:H103"/>
    <mergeCell ref="I102:I103"/>
    <mergeCell ref="C92:C93"/>
    <mergeCell ref="H92:H93"/>
    <mergeCell ref="I92:I93"/>
    <mergeCell ref="C88:C90"/>
    <mergeCell ref="C81:C87"/>
    <mergeCell ref="H81:H87"/>
    <mergeCell ref="I81:I87"/>
    <mergeCell ref="H88:H91"/>
    <mergeCell ref="I27:I30"/>
    <mergeCell ref="C31:C36"/>
    <mergeCell ref="H31:H36"/>
    <mergeCell ref="C22:C25"/>
    <mergeCell ref="I88:I91"/>
    <mergeCell ref="H76:H77"/>
    <mergeCell ref="I76:I77"/>
    <mergeCell ref="C66:C71"/>
    <mergeCell ref="H66:H71"/>
    <mergeCell ref="I66:I71"/>
    <mergeCell ref="I12:I26"/>
    <mergeCell ref="C94:C97"/>
    <mergeCell ref="H94:H97"/>
    <mergeCell ref="I94:I97"/>
    <mergeCell ref="H46:H65"/>
    <mergeCell ref="I46:I65"/>
    <mergeCell ref="C46:C63"/>
    <mergeCell ref="C64:C65"/>
    <mergeCell ref="C12:C21"/>
    <mergeCell ref="I31:I36"/>
    <mergeCell ref="H40:H41"/>
    <mergeCell ref="I40:I41"/>
    <mergeCell ref="C37:C38"/>
    <mergeCell ref="H37:H39"/>
    <mergeCell ref="I37:I39"/>
    <mergeCell ref="H27:H30"/>
    <mergeCell ref="A2:A41"/>
    <mergeCell ref="A42:A80"/>
    <mergeCell ref="C72:C75"/>
    <mergeCell ref="H72:H75"/>
    <mergeCell ref="I72:I75"/>
    <mergeCell ref="C78:C80"/>
    <mergeCell ref="H78:H80"/>
    <mergeCell ref="I78:I80"/>
    <mergeCell ref="C42:C44"/>
    <mergeCell ref="H42:H45"/>
    <mergeCell ref="I42:I45"/>
    <mergeCell ref="C27:C30"/>
    <mergeCell ref="C2:C10"/>
    <mergeCell ref="H2:H11"/>
    <mergeCell ref="I2:I11"/>
    <mergeCell ref="H12:H26"/>
    <mergeCell ref="I125:I126"/>
    <mergeCell ref="H128:H129"/>
    <mergeCell ref="H130:H132"/>
    <mergeCell ref="H133:H143"/>
    <mergeCell ref="H144:H146"/>
    <mergeCell ref="I128:I129"/>
    <mergeCell ref="I130:I132"/>
    <mergeCell ref="I133:I143"/>
    <mergeCell ref="I144:I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tabSelected="1" workbookViewId="0">
      <selection activeCell="L3" sqref="L3"/>
    </sheetView>
  </sheetViews>
  <sheetFormatPr baseColWidth="10" defaultColWidth="8.88671875" defaultRowHeight="14.4" x14ac:dyDescent="0.3"/>
  <cols>
    <col min="1" max="1" width="11" customWidth="1"/>
    <col min="2" max="2" width="16.109375" customWidth="1"/>
    <col min="3" max="3" width="20.6640625" customWidth="1"/>
    <col min="4" max="4" width="26.33203125" customWidth="1"/>
    <col min="5" max="5" width="20.6640625" customWidth="1"/>
    <col min="6" max="6" width="15.88671875" customWidth="1"/>
    <col min="10" max="10" width="19.5546875" customWidth="1"/>
    <col min="11" max="11" width="13.33203125" customWidth="1"/>
  </cols>
  <sheetData>
    <row r="1" spans="1:13" x14ac:dyDescent="0.3">
      <c r="A1" s="1" t="s">
        <v>10</v>
      </c>
      <c r="B1" s="1" t="s">
        <v>11</v>
      </c>
      <c r="C1" s="1" t="s">
        <v>12</v>
      </c>
      <c r="D1" s="1" t="s">
        <v>95</v>
      </c>
      <c r="E1" s="1" t="s">
        <v>61</v>
      </c>
      <c r="F1" s="1" t="s">
        <v>13</v>
      </c>
      <c r="I1" s="10" t="s">
        <v>91</v>
      </c>
      <c r="K1" t="s">
        <v>259</v>
      </c>
      <c r="L1" t="s">
        <v>260</v>
      </c>
    </row>
    <row r="2" spans="1:13" x14ac:dyDescent="0.3">
      <c r="A2" s="2" t="s">
        <v>105</v>
      </c>
      <c r="B2" s="2">
        <v>147</v>
      </c>
      <c r="C2" s="2">
        <f>SUMIFS('Registro de Compras'!E:E, 'Registro de Compras'!B:B, "&gt;=17/08/2025", 'Registro de Compras'!B:B, "&lt;=22/08/2025")</f>
        <v>121.84999999999998</v>
      </c>
      <c r="D2" s="2">
        <f>'Productos Recurrentes'!H13</f>
        <v>0</v>
      </c>
      <c r="E2" s="2"/>
      <c r="F2" s="2">
        <f>B2-C2</f>
        <v>25.15000000000002</v>
      </c>
      <c r="G2">
        <f>F2*23</f>
        <v>578.4500000000005</v>
      </c>
      <c r="I2">
        <f>SUM(F2:F23)</f>
        <v>145.88739130434783</v>
      </c>
      <c r="J2">
        <f>I2*23</f>
        <v>3355.41</v>
      </c>
      <c r="K2">
        <f>L6</f>
        <v>126.30000000000001</v>
      </c>
      <c r="L2">
        <f>I2-K2</f>
        <v>19.587391304347818</v>
      </c>
    </row>
    <row r="3" spans="1:13" x14ac:dyDescent="0.3">
      <c r="A3" s="2" t="s">
        <v>104</v>
      </c>
      <c r="B3" s="2">
        <f>100</f>
        <v>100</v>
      </c>
      <c r="C3" s="2">
        <f>SUMIFS('Registro de Compras'!E:E, 'Registro de Compras'!B:B, "&gt;=23/08/2025", 'Registro de Compras'!B:B, "&lt;=29/08/2025")</f>
        <v>92.289999999999992</v>
      </c>
      <c r="D3" s="2"/>
      <c r="E3" s="2"/>
      <c r="F3" s="2">
        <f>B3-C3</f>
        <v>7.710000000000008</v>
      </c>
      <c r="G3">
        <f>F3*23</f>
        <v>177.33000000000018</v>
      </c>
    </row>
    <row r="4" spans="1:13" x14ac:dyDescent="0.3">
      <c r="A4" s="2" t="s">
        <v>106</v>
      </c>
      <c r="B4" s="2">
        <v>100</v>
      </c>
      <c r="C4" s="2">
        <f>SUMIFS('Registro de Compras'!E:E, 'Registro de Compras'!B:B, "&gt;=30/08/2025", 'Registro de Compras'!B:B, "&lt;=05/09/2025")</f>
        <v>87.76</v>
      </c>
      <c r="D4" s="2"/>
      <c r="E4" s="2"/>
      <c r="F4" s="2">
        <f t="shared" ref="F4:F23" si="0">B4-C4</f>
        <v>12.239999999999995</v>
      </c>
    </row>
    <row r="5" spans="1:13" x14ac:dyDescent="0.3">
      <c r="A5" s="2" t="s">
        <v>130</v>
      </c>
      <c r="B5" s="2">
        <v>100</v>
      </c>
      <c r="C5" s="2">
        <f>SUMIFS('Registro de Compras'!E:E, 'Registro de Compras'!B:B, "&gt;=06/09/2025", 'Registro de Compras'!B:B, "&lt;=12/09/2025")</f>
        <v>76.320000000000007</v>
      </c>
      <c r="D5" s="2"/>
      <c r="E5" s="2"/>
      <c r="F5" s="2">
        <f t="shared" si="0"/>
        <v>23.679999999999993</v>
      </c>
      <c r="I5" t="s">
        <v>251</v>
      </c>
      <c r="L5" t="s">
        <v>255</v>
      </c>
    </row>
    <row r="6" spans="1:13" x14ac:dyDescent="0.3">
      <c r="A6" s="2" t="s">
        <v>142</v>
      </c>
      <c r="B6" s="2">
        <v>100</v>
      </c>
      <c r="C6" s="2">
        <f>SUMIFS('Registro de Compras'!E:E, 'Registro de Compras'!B:B, "&gt;=13/09/2025", 'Registro de Compras'!B:B, "&lt;=19/09/2025")</f>
        <v>168.14000000000004</v>
      </c>
      <c r="D6" s="2"/>
      <c r="E6" s="2"/>
      <c r="F6" s="2">
        <f t="shared" si="0"/>
        <v>-68.140000000000043</v>
      </c>
      <c r="J6" t="s">
        <v>250</v>
      </c>
      <c r="K6">
        <v>36.9</v>
      </c>
      <c r="L6">
        <f>SUM(K6:K9)</f>
        <v>126.30000000000001</v>
      </c>
      <c r="M6">
        <f>L6*23</f>
        <v>2904.9</v>
      </c>
    </row>
    <row r="7" spans="1:13" x14ac:dyDescent="0.3">
      <c r="A7" s="2" t="s">
        <v>181</v>
      </c>
      <c r="B7" s="2">
        <v>100</v>
      </c>
      <c r="C7" s="2">
        <f>SUMIFS('Registro de Compras'!E:E, 'Registro de Compras'!B:B, "&gt;=20/09/2025", 'Registro de Compras'!B:B, "&lt;=26/09/2025")</f>
        <v>58.511304347826091</v>
      </c>
      <c r="D7" s="2"/>
      <c r="E7" s="2"/>
      <c r="F7" s="2">
        <f t="shared" si="0"/>
        <v>41.488695652173909</v>
      </c>
      <c r="J7" t="s">
        <v>252</v>
      </c>
      <c r="K7">
        <v>35</v>
      </c>
    </row>
    <row r="8" spans="1:13" x14ac:dyDescent="0.3">
      <c r="A8" s="2" t="s">
        <v>182</v>
      </c>
      <c r="B8" s="2">
        <v>100</v>
      </c>
      <c r="C8" s="2">
        <f>SUMIFS('Registro de Compras'!E:E, 'Registro de Compras'!B:B, "&gt;=27/09/2025", 'Registro de Compras'!B:B, "&lt;=03/10/2025")</f>
        <v>96.09</v>
      </c>
      <c r="D8" s="2"/>
      <c r="E8" s="2"/>
      <c r="F8" s="2">
        <f t="shared" si="0"/>
        <v>3.9099999999999966</v>
      </c>
      <c r="J8" t="s">
        <v>253</v>
      </c>
      <c r="K8">
        <v>22</v>
      </c>
    </row>
    <row r="9" spans="1:13" x14ac:dyDescent="0.3">
      <c r="A9" s="2" t="s">
        <v>183</v>
      </c>
      <c r="B9" s="2">
        <v>100</v>
      </c>
      <c r="C9" s="2">
        <f>SUMIFS('Registro de Compras'!E:E, 'Registro de Compras'!B:B, "&gt;=04/10/2025", 'Registro de Compras'!B:B, "&lt;=10/10/2025")</f>
        <v>61.610000000000007</v>
      </c>
      <c r="D9" s="2"/>
      <c r="E9" s="2"/>
      <c r="F9" s="2">
        <f t="shared" si="0"/>
        <v>38.389999999999993</v>
      </c>
      <c r="J9" t="s">
        <v>254</v>
      </c>
      <c r="K9">
        <v>32.4</v>
      </c>
    </row>
    <row r="10" spans="1:13" x14ac:dyDescent="0.3">
      <c r="A10" s="2" t="s">
        <v>184</v>
      </c>
      <c r="B10" s="2">
        <v>100</v>
      </c>
      <c r="C10" s="2">
        <f>SUMIFS('Registro de Compras'!E:E, 'Registro de Compras'!B:B, "&gt;=11/10/2025", 'Registro de Compras'!B:B, "&lt;=17/10/2025")</f>
        <v>87.009999999999977</v>
      </c>
      <c r="D10" s="2"/>
      <c r="E10" s="2"/>
      <c r="F10" s="2">
        <f t="shared" si="0"/>
        <v>12.990000000000023</v>
      </c>
    </row>
    <row r="11" spans="1:13" x14ac:dyDescent="0.3">
      <c r="A11" s="2" t="s">
        <v>185</v>
      </c>
      <c r="B11" s="2">
        <v>100</v>
      </c>
      <c r="C11" s="2">
        <f>SUMIFS('Registro de Compras'!E:E, 'Registro de Compras'!B:B, "&gt;=18/10/2025", 'Registro de Compras'!B:B, "&lt;=24/10/2025")</f>
        <v>68.791304347826085</v>
      </c>
      <c r="D11" s="2"/>
      <c r="E11" s="2"/>
      <c r="F11" s="2">
        <f t="shared" si="0"/>
        <v>31.208695652173915</v>
      </c>
    </row>
    <row r="12" spans="1:13" x14ac:dyDescent="0.3">
      <c r="A12" s="2" t="s">
        <v>186</v>
      </c>
      <c r="B12" s="2">
        <v>100</v>
      </c>
      <c r="C12" s="2">
        <f>SUMIFS('Registro de Compras'!E:E, 'Registro de Compras'!B:B, "&gt;=25/10/2025", 'Registro de Compras'!B:B, "&lt;=31/10/2025")</f>
        <v>82.74</v>
      </c>
      <c r="D12" s="2"/>
      <c r="E12" s="2"/>
      <c r="F12" s="2">
        <f t="shared" si="0"/>
        <v>17.260000000000005</v>
      </c>
    </row>
    <row r="13" spans="1:13" x14ac:dyDescent="0.3">
      <c r="A13" s="2" t="s">
        <v>187</v>
      </c>
      <c r="B13" s="2"/>
      <c r="C13" s="2"/>
      <c r="D13" s="2"/>
      <c r="E13" s="2"/>
      <c r="F13" s="2">
        <f t="shared" si="0"/>
        <v>0</v>
      </c>
    </row>
    <row r="14" spans="1:13" x14ac:dyDescent="0.3">
      <c r="A14" s="2" t="s">
        <v>188</v>
      </c>
      <c r="B14" s="2"/>
      <c r="C14" s="2"/>
      <c r="D14" s="2"/>
      <c r="E14" s="2"/>
      <c r="F14" s="2">
        <f t="shared" si="0"/>
        <v>0</v>
      </c>
    </row>
    <row r="15" spans="1:13" x14ac:dyDescent="0.3">
      <c r="A15" s="2" t="s">
        <v>189</v>
      </c>
      <c r="B15" s="2"/>
      <c r="C15" s="2"/>
      <c r="D15" s="2"/>
      <c r="E15" s="2"/>
      <c r="F15" s="2">
        <f t="shared" si="0"/>
        <v>0</v>
      </c>
    </row>
    <row r="16" spans="1:13" x14ac:dyDescent="0.3">
      <c r="A16" s="2" t="s">
        <v>190</v>
      </c>
      <c r="B16" s="2"/>
      <c r="C16" s="2"/>
      <c r="D16" s="2"/>
      <c r="E16" s="2"/>
      <c r="F16" s="2">
        <f t="shared" si="0"/>
        <v>0</v>
      </c>
    </row>
    <row r="17" spans="1:6" x14ac:dyDescent="0.3">
      <c r="A17" s="2" t="s">
        <v>191</v>
      </c>
      <c r="B17" s="2"/>
      <c r="C17" s="2"/>
      <c r="D17" s="2"/>
      <c r="E17" s="2"/>
      <c r="F17" s="2">
        <f t="shared" si="0"/>
        <v>0</v>
      </c>
    </row>
    <row r="18" spans="1:6" x14ac:dyDescent="0.3">
      <c r="A18" s="2" t="s">
        <v>192</v>
      </c>
      <c r="B18" s="2"/>
      <c r="C18" s="2"/>
      <c r="D18" s="2"/>
      <c r="E18" s="2"/>
      <c r="F18" s="2">
        <f t="shared" si="0"/>
        <v>0</v>
      </c>
    </row>
    <row r="19" spans="1:6" x14ac:dyDescent="0.3">
      <c r="A19" s="2" t="s">
        <v>193</v>
      </c>
      <c r="B19" s="2"/>
      <c r="C19" s="2"/>
      <c r="D19" s="2"/>
      <c r="E19" s="2"/>
      <c r="F19" s="2">
        <f t="shared" si="0"/>
        <v>0</v>
      </c>
    </row>
    <row r="20" spans="1:6" x14ac:dyDescent="0.3">
      <c r="A20" s="2" t="s">
        <v>194</v>
      </c>
      <c r="B20" s="2"/>
      <c r="C20" s="2"/>
      <c r="D20" s="2"/>
      <c r="E20" s="2"/>
      <c r="F20" s="2">
        <f t="shared" si="0"/>
        <v>0</v>
      </c>
    </row>
    <row r="21" spans="1:6" x14ac:dyDescent="0.3">
      <c r="A21" s="2" t="s">
        <v>195</v>
      </c>
      <c r="B21" s="2"/>
      <c r="C21" s="2"/>
      <c r="D21" s="2"/>
      <c r="E21" s="2"/>
      <c r="F21" s="2">
        <f t="shared" si="0"/>
        <v>0</v>
      </c>
    </row>
    <row r="22" spans="1:6" x14ac:dyDescent="0.3">
      <c r="A22" s="2" t="s">
        <v>196</v>
      </c>
      <c r="B22" s="2"/>
      <c r="C22" s="2"/>
      <c r="D22" s="2"/>
      <c r="E22" s="2"/>
      <c r="F22" s="2">
        <f t="shared" si="0"/>
        <v>0</v>
      </c>
    </row>
    <row r="23" spans="1:6" x14ac:dyDescent="0.3">
      <c r="A23" s="2" t="s">
        <v>197</v>
      </c>
      <c r="B23" s="2"/>
      <c r="C23" s="2"/>
      <c r="D23" s="2"/>
      <c r="E23" s="2"/>
      <c r="F23" s="2">
        <f t="shared" si="0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>
      <selection activeCell="G3" sqref="G3"/>
    </sheetView>
  </sheetViews>
  <sheetFormatPr baseColWidth="10" defaultColWidth="8.88671875" defaultRowHeight="14.4" x14ac:dyDescent="0.3"/>
  <cols>
    <col min="1" max="1" width="18.21875" customWidth="1"/>
    <col min="2" max="2" width="20.44140625" customWidth="1"/>
    <col min="3" max="3" width="13.21875" customWidth="1"/>
    <col min="4" max="4" width="15.44140625" customWidth="1"/>
    <col min="5" max="5" width="18.33203125" customWidth="1"/>
  </cols>
  <sheetData>
    <row r="1" spans="1:5" x14ac:dyDescent="0.3">
      <c r="B1" s="7" t="s">
        <v>1</v>
      </c>
      <c r="C1" s="7" t="s">
        <v>4</v>
      </c>
      <c r="D1" s="7" t="s">
        <v>68</v>
      </c>
      <c r="E1" s="7" t="s">
        <v>5</v>
      </c>
    </row>
    <row r="2" spans="1:5" x14ac:dyDescent="0.3">
      <c r="A2" s="52" t="s">
        <v>62</v>
      </c>
      <c r="B2" s="2" t="s">
        <v>14</v>
      </c>
      <c r="C2" s="2">
        <v>7</v>
      </c>
      <c r="D2" s="8">
        <f>_xlfn.MAXIFS('Registro de Compras'!B:B, 'Registro de Compras'!D:D, 'Productos Recurrentes'!B2)</f>
        <v>45955</v>
      </c>
      <c r="E2" s="3">
        <f>D2+C2-1</f>
        <v>45961</v>
      </c>
    </row>
    <row r="3" spans="1:5" x14ac:dyDescent="0.3">
      <c r="A3" s="53"/>
      <c r="B3" s="2" t="s">
        <v>6</v>
      </c>
      <c r="C3" s="2">
        <v>14</v>
      </c>
      <c r="D3" s="8">
        <f>_xlfn.MAXIFS('Registro de Compras'!B:B, 'Registro de Compras'!D:D, 'Productos Recurrentes'!B3)</f>
        <v>45936</v>
      </c>
      <c r="E3" s="3">
        <f t="shared" ref="E3:E22" si="0">D3+C3-1</f>
        <v>45949</v>
      </c>
    </row>
    <row r="4" spans="1:5" x14ac:dyDescent="0.3">
      <c r="A4" s="53"/>
      <c r="B4" s="2" t="s">
        <v>69</v>
      </c>
      <c r="C4" s="2">
        <v>7</v>
      </c>
      <c r="D4" s="8">
        <f>_xlfn.MAXIFS('Registro de Compras'!B:B, 'Registro de Compras'!D:D, 'Productos Recurrentes'!B4)</f>
        <v>45895</v>
      </c>
      <c r="E4" s="3">
        <f t="shared" si="0"/>
        <v>45901</v>
      </c>
    </row>
    <row r="5" spans="1:5" x14ac:dyDescent="0.3">
      <c r="A5" s="53"/>
      <c r="B5" s="2" t="s">
        <v>23</v>
      </c>
      <c r="C5" s="2">
        <v>14</v>
      </c>
      <c r="D5" s="8">
        <f>_xlfn.MAXIFS('Registro de Compras'!B:B, 'Registro de Compras'!D:D, 'Productos Recurrentes'!B5)</f>
        <v>45941</v>
      </c>
      <c r="E5" s="3">
        <f t="shared" si="0"/>
        <v>45954</v>
      </c>
    </row>
    <row r="6" spans="1:5" x14ac:dyDescent="0.3">
      <c r="A6" s="53"/>
      <c r="B6" s="2" t="s">
        <v>43</v>
      </c>
      <c r="C6" s="2">
        <v>4</v>
      </c>
      <c r="D6" s="8">
        <f>_xlfn.MAXIFS('Registro de Compras'!B:B, 'Registro de Compras'!D:D, 'Productos Recurrentes'!B6)</f>
        <v>45915</v>
      </c>
      <c r="E6" s="3">
        <f t="shared" si="0"/>
        <v>45918</v>
      </c>
    </row>
    <row r="7" spans="1:5" x14ac:dyDescent="0.3">
      <c r="A7" s="53"/>
      <c r="B7" s="2" t="s">
        <v>46</v>
      </c>
      <c r="C7" s="2">
        <v>15</v>
      </c>
      <c r="D7" s="8">
        <f>_xlfn.MAXIFS('Registro de Compras'!B:B, 'Registro de Compras'!D:D, 'Productos Recurrentes'!B7)</f>
        <v>45904</v>
      </c>
      <c r="E7" s="3">
        <f t="shared" si="0"/>
        <v>45918</v>
      </c>
    </row>
    <row r="8" spans="1:5" x14ac:dyDescent="0.3">
      <c r="A8" s="53"/>
      <c r="B8" s="2" t="s">
        <v>29</v>
      </c>
      <c r="C8" s="2">
        <v>14</v>
      </c>
      <c r="D8" s="8">
        <f>_xlfn.MAXIFS('Registro de Compras'!B:B, 'Registro de Compras'!D:D, 'Productos Recurrentes'!B8)</f>
        <v>45955</v>
      </c>
      <c r="E8" s="3">
        <f t="shared" si="0"/>
        <v>45968</v>
      </c>
    </row>
    <row r="9" spans="1:5" x14ac:dyDescent="0.3">
      <c r="A9" s="53"/>
      <c r="B9" s="2" t="s">
        <v>64</v>
      </c>
      <c r="C9" s="2">
        <v>14</v>
      </c>
      <c r="D9" s="8">
        <f>_xlfn.MAXIFS('Registro de Compras'!B:B, 'Registro de Compras'!D:D, 'Productos Recurrentes'!B9)</f>
        <v>45944</v>
      </c>
      <c r="E9" s="3">
        <f t="shared" si="0"/>
        <v>45957</v>
      </c>
    </row>
    <row r="10" spans="1:5" x14ac:dyDescent="0.3">
      <c r="A10" s="53"/>
      <c r="B10" s="2" t="s">
        <v>65</v>
      </c>
      <c r="C10" s="2">
        <v>7</v>
      </c>
      <c r="D10" s="8">
        <f>_xlfn.MAXIFS('Registro de Compras'!B:B, 'Registro de Compras'!D:D, 'Productos Recurrentes'!B10)</f>
        <v>45951</v>
      </c>
      <c r="E10" s="3">
        <f t="shared" si="0"/>
        <v>45957</v>
      </c>
    </row>
    <row r="11" spans="1:5" x14ac:dyDescent="0.3">
      <c r="A11" s="53"/>
      <c r="B11" s="2" t="s">
        <v>67</v>
      </c>
      <c r="C11" s="2">
        <v>7</v>
      </c>
      <c r="D11" s="8">
        <f>_xlfn.MAXIFS('Registro de Compras'!B:B, 'Registro de Compras'!D:D, 'Productos Recurrentes'!B11)</f>
        <v>45890</v>
      </c>
      <c r="E11" s="3">
        <f t="shared" si="0"/>
        <v>45896</v>
      </c>
    </row>
    <row r="12" spans="1:5" x14ac:dyDescent="0.3">
      <c r="A12" s="54"/>
      <c r="B12" s="2" t="s">
        <v>102</v>
      </c>
      <c r="C12" s="2">
        <v>6</v>
      </c>
      <c r="D12" s="8">
        <f>_xlfn.MAXIFS('Registro de Compras'!B:B, 'Registro de Compras'!D:D, 'Productos Recurrentes'!B12)</f>
        <v>45954</v>
      </c>
      <c r="E12" s="3">
        <f t="shared" si="0"/>
        <v>45959</v>
      </c>
    </row>
    <row r="13" spans="1:5" x14ac:dyDescent="0.3">
      <c r="A13" s="50" t="s">
        <v>7</v>
      </c>
      <c r="B13" s="2" t="s">
        <v>40</v>
      </c>
      <c r="C13" s="2">
        <v>7</v>
      </c>
      <c r="D13" s="8">
        <f>_xlfn.MAXIFS('Registro de Compras'!B:B, 'Registro de Compras'!D:D, 'Productos Recurrentes'!B13)</f>
        <v>45915</v>
      </c>
      <c r="E13" s="3">
        <f t="shared" si="0"/>
        <v>45921</v>
      </c>
    </row>
    <row r="14" spans="1:5" x14ac:dyDescent="0.3">
      <c r="A14" s="50"/>
      <c r="B14" s="2" t="s">
        <v>41</v>
      </c>
      <c r="C14" s="2">
        <v>7</v>
      </c>
      <c r="D14" s="8">
        <f>_xlfn.MAXIFS('Registro de Compras'!B:B, 'Registro de Compras'!D:D, 'Productos Recurrentes'!B14)</f>
        <v>45955</v>
      </c>
      <c r="E14" s="3">
        <f t="shared" si="0"/>
        <v>45961</v>
      </c>
    </row>
    <row r="15" spans="1:5" x14ac:dyDescent="0.3">
      <c r="A15" s="50"/>
      <c r="B15" s="2" t="s">
        <v>63</v>
      </c>
      <c r="C15" s="2">
        <v>7</v>
      </c>
      <c r="D15" s="8">
        <f>_xlfn.MAXIFS('Registro de Compras'!B:B, 'Registro de Compras'!D:D, 'Productos Recurrentes'!B15)</f>
        <v>45920</v>
      </c>
      <c r="E15" s="3">
        <f t="shared" si="0"/>
        <v>45926</v>
      </c>
    </row>
    <row r="16" spans="1:5" x14ac:dyDescent="0.3">
      <c r="A16" s="50"/>
      <c r="B16" s="2" t="s">
        <v>26</v>
      </c>
      <c r="C16" s="2">
        <v>14</v>
      </c>
      <c r="D16" s="8">
        <f>_xlfn.MAXIFS('Registro de Compras'!B:B, 'Registro de Compras'!D:D, 'Productos Recurrentes'!B16)</f>
        <v>45920</v>
      </c>
      <c r="E16" s="3">
        <f t="shared" si="0"/>
        <v>45933</v>
      </c>
    </row>
    <row r="17" spans="1:5" x14ac:dyDescent="0.3">
      <c r="A17" s="50"/>
      <c r="B17" s="2" t="s">
        <v>45</v>
      </c>
      <c r="C17" s="2">
        <v>7</v>
      </c>
      <c r="D17" s="8">
        <f>_xlfn.MAXIFS('Registro de Compras'!B:B, 'Registro de Compras'!D:D, 'Productos Recurrentes'!B17)</f>
        <v>45948</v>
      </c>
      <c r="E17" s="3">
        <f t="shared" si="0"/>
        <v>45954</v>
      </c>
    </row>
    <row r="18" spans="1:5" x14ac:dyDescent="0.3">
      <c r="A18" s="51" t="s">
        <v>66</v>
      </c>
      <c r="B18" s="2" t="s">
        <v>31</v>
      </c>
      <c r="C18" s="2">
        <v>7</v>
      </c>
      <c r="D18" s="8">
        <f>_xlfn.MAXIFS('Registro de Compras'!B:B, 'Registro de Compras'!D:D, 'Productos Recurrentes'!B18)</f>
        <v>45955</v>
      </c>
      <c r="E18" s="3">
        <f t="shared" si="0"/>
        <v>45961</v>
      </c>
    </row>
    <row r="19" spans="1:5" x14ac:dyDescent="0.3">
      <c r="A19" s="51"/>
      <c r="B19" s="2" t="s">
        <v>15</v>
      </c>
      <c r="C19" s="2">
        <v>30</v>
      </c>
      <c r="D19" s="8">
        <f>_xlfn.MAXIFS('Registro de Compras'!B:B, 'Registro de Compras'!D:D, 'Productos Recurrentes'!B19)</f>
        <v>45951</v>
      </c>
      <c r="E19" s="3">
        <f t="shared" si="0"/>
        <v>45980</v>
      </c>
    </row>
    <row r="20" spans="1:5" x14ac:dyDescent="0.3">
      <c r="A20" s="50" t="s">
        <v>8</v>
      </c>
      <c r="B20" s="2" t="s">
        <v>17</v>
      </c>
      <c r="C20" s="2">
        <v>60</v>
      </c>
      <c r="D20" s="8">
        <f>_xlfn.MAXIFS('Registro de Compras'!B:B, 'Registro de Compras'!D:D, 'Productos Recurrentes'!B20)</f>
        <v>45936</v>
      </c>
      <c r="E20" s="3">
        <f t="shared" si="0"/>
        <v>45995</v>
      </c>
    </row>
    <row r="21" spans="1:5" x14ac:dyDescent="0.3">
      <c r="A21" s="50"/>
      <c r="B21" s="2" t="s">
        <v>59</v>
      </c>
      <c r="C21" s="2">
        <v>90</v>
      </c>
      <c r="D21" s="8">
        <f>_xlfn.MAXIFS('Registro de Compras'!B:B, 'Registro de Compras'!D:D, 'Productos Recurrentes'!B21)</f>
        <v>45891</v>
      </c>
      <c r="E21" s="3">
        <f t="shared" si="0"/>
        <v>45980</v>
      </c>
    </row>
    <row r="22" spans="1:5" x14ac:dyDescent="0.3">
      <c r="A22" s="50"/>
      <c r="B22" s="2" t="s">
        <v>34</v>
      </c>
      <c r="C22" s="2">
        <v>30</v>
      </c>
      <c r="D22" s="8">
        <f>_xlfn.MAXIFS('Registro de Compras'!B:B, 'Registro de Compras'!D:D, 'Productos Recurrentes'!B22)</f>
        <v>45887</v>
      </c>
      <c r="E22" s="3">
        <f t="shared" si="0"/>
        <v>45916</v>
      </c>
    </row>
  </sheetData>
  <mergeCells count="4">
    <mergeCell ref="A13:A17"/>
    <mergeCell ref="A18:A19"/>
    <mergeCell ref="A20:A22"/>
    <mergeCell ref="A2:A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4A0F1-8321-40B6-9C27-4B547BEB90CA}">
  <dimension ref="A1:I20"/>
  <sheetViews>
    <sheetView workbookViewId="0">
      <selection activeCell="C5" sqref="C5"/>
    </sheetView>
  </sheetViews>
  <sheetFormatPr baseColWidth="10" defaultRowHeight="14.4" x14ac:dyDescent="0.3"/>
  <cols>
    <col min="2" max="2" width="15.33203125" customWidth="1"/>
    <col min="3" max="3" width="25.77734375" customWidth="1"/>
    <col min="4" max="4" width="21.88671875" customWidth="1"/>
    <col min="5" max="5" width="23.21875" customWidth="1"/>
    <col min="6" max="6" width="19.5546875" customWidth="1"/>
    <col min="7" max="7" width="16.77734375" customWidth="1"/>
    <col min="8" max="8" width="29.109375" customWidth="1"/>
  </cols>
  <sheetData>
    <row r="1" spans="1:9" x14ac:dyDescent="0.3">
      <c r="A1" s="55" t="s">
        <v>154</v>
      </c>
      <c r="B1" s="56"/>
      <c r="C1" s="56"/>
      <c r="D1" s="56"/>
      <c r="E1" s="56"/>
      <c r="F1" s="56"/>
      <c r="G1" s="56"/>
      <c r="H1" s="57"/>
    </row>
    <row r="2" spans="1:9" x14ac:dyDescent="0.3">
      <c r="A2" s="2"/>
      <c r="B2" s="22" t="s">
        <v>145</v>
      </c>
      <c r="C2" s="22" t="s">
        <v>146</v>
      </c>
      <c r="D2" s="22" t="s">
        <v>147</v>
      </c>
      <c r="E2" s="22" t="s">
        <v>148</v>
      </c>
      <c r="F2" s="22" t="s">
        <v>149</v>
      </c>
      <c r="G2" s="22" t="s">
        <v>150</v>
      </c>
      <c r="H2" s="22" t="s">
        <v>151</v>
      </c>
    </row>
    <row r="3" spans="1:9" ht="46.2" customHeight="1" x14ac:dyDescent="0.3">
      <c r="A3" s="21" t="s">
        <v>152</v>
      </c>
      <c r="B3" s="23" t="s">
        <v>164</v>
      </c>
      <c r="C3" s="24" t="s">
        <v>164</v>
      </c>
      <c r="D3" s="25" t="s">
        <v>164</v>
      </c>
      <c r="E3" s="26" t="s">
        <v>155</v>
      </c>
      <c r="F3" s="27" t="s">
        <v>155</v>
      </c>
      <c r="G3" s="28" t="s">
        <v>155</v>
      </c>
      <c r="H3" s="29" t="s">
        <v>156</v>
      </c>
      <c r="I3" t="s">
        <v>171</v>
      </c>
    </row>
    <row r="4" spans="1:9" x14ac:dyDescent="0.3">
      <c r="A4" s="21" t="s">
        <v>153</v>
      </c>
      <c r="B4" s="23" t="s">
        <v>157</v>
      </c>
      <c r="C4" s="24" t="s">
        <v>158</v>
      </c>
      <c r="D4" s="25" t="s">
        <v>157</v>
      </c>
      <c r="E4" s="26" t="s">
        <v>158</v>
      </c>
      <c r="F4" s="27" t="s">
        <v>158</v>
      </c>
      <c r="G4" s="28" t="s">
        <v>157</v>
      </c>
      <c r="H4" s="29" t="s">
        <v>159</v>
      </c>
    </row>
    <row r="5" spans="1:9" ht="35.4" customHeight="1" x14ac:dyDescent="0.3">
      <c r="A5" s="21" t="s">
        <v>7</v>
      </c>
      <c r="B5" s="23" t="s">
        <v>165</v>
      </c>
      <c r="C5" s="24" t="s">
        <v>176</v>
      </c>
      <c r="D5" s="25" t="s">
        <v>166</v>
      </c>
      <c r="E5" s="26" t="s">
        <v>202</v>
      </c>
      <c r="F5" s="27" t="s">
        <v>172</v>
      </c>
      <c r="G5" s="28" t="s">
        <v>177</v>
      </c>
      <c r="H5" s="29" t="s">
        <v>160</v>
      </c>
    </row>
    <row r="6" spans="1:9" x14ac:dyDescent="0.3">
      <c r="A6" s="21" t="s">
        <v>66</v>
      </c>
      <c r="B6" s="23" t="s">
        <v>163</v>
      </c>
      <c r="C6" s="24" t="s">
        <v>161</v>
      </c>
      <c r="D6" s="25" t="s">
        <v>163</v>
      </c>
      <c r="E6" s="26" t="s">
        <v>161</v>
      </c>
      <c r="F6" s="27" t="s">
        <v>163</v>
      </c>
      <c r="G6" s="28" t="s">
        <v>161</v>
      </c>
      <c r="H6" s="29" t="s">
        <v>163</v>
      </c>
    </row>
    <row r="8" spans="1:9" x14ac:dyDescent="0.3">
      <c r="A8" s="55" t="s">
        <v>154</v>
      </c>
      <c r="B8" s="56"/>
      <c r="C8" s="56"/>
      <c r="D8" s="56"/>
      <c r="E8" s="56"/>
      <c r="F8" s="56"/>
      <c r="G8" s="56"/>
      <c r="H8" s="57"/>
    </row>
    <row r="9" spans="1:9" x14ac:dyDescent="0.3">
      <c r="A9" s="2"/>
      <c r="B9" s="22" t="s">
        <v>145</v>
      </c>
      <c r="C9" s="22" t="s">
        <v>146</v>
      </c>
      <c r="D9" s="22" t="s">
        <v>147</v>
      </c>
      <c r="E9" s="22" t="s">
        <v>148</v>
      </c>
      <c r="F9" s="22" t="s">
        <v>149</v>
      </c>
      <c r="G9" s="22" t="s">
        <v>150</v>
      </c>
      <c r="H9" s="22" t="s">
        <v>151</v>
      </c>
    </row>
    <row r="10" spans="1:9" ht="28.8" x14ac:dyDescent="0.3">
      <c r="A10" s="21" t="s">
        <v>152</v>
      </c>
      <c r="B10" s="23" t="s">
        <v>198</v>
      </c>
      <c r="C10" s="24" t="s">
        <v>199</v>
      </c>
      <c r="D10" s="25" t="s">
        <v>200</v>
      </c>
      <c r="E10" s="26" t="s">
        <v>155</v>
      </c>
      <c r="F10" s="27" t="s">
        <v>155</v>
      </c>
      <c r="G10" s="28" t="s">
        <v>155</v>
      </c>
      <c r="H10" s="29" t="s">
        <v>156</v>
      </c>
    </row>
    <row r="11" spans="1:9" x14ac:dyDescent="0.3">
      <c r="A11" s="21" t="s">
        <v>153</v>
      </c>
      <c r="B11" s="23" t="s">
        <v>157</v>
      </c>
      <c r="C11" s="24" t="s">
        <v>158</v>
      </c>
      <c r="D11" s="25" t="s">
        <v>157</v>
      </c>
      <c r="E11" s="26" t="s">
        <v>158</v>
      </c>
      <c r="F11" s="27" t="s">
        <v>158</v>
      </c>
      <c r="G11" s="28" t="s">
        <v>157</v>
      </c>
      <c r="H11" s="29" t="s">
        <v>159</v>
      </c>
    </row>
    <row r="12" spans="1:9" ht="43.2" x14ac:dyDescent="0.3">
      <c r="A12" s="21" t="s">
        <v>7</v>
      </c>
      <c r="B12" s="23" t="s">
        <v>167</v>
      </c>
      <c r="C12" s="24" t="s">
        <v>174</v>
      </c>
      <c r="D12" s="25" t="s">
        <v>168</v>
      </c>
      <c r="E12" s="26" t="s">
        <v>175</v>
      </c>
      <c r="F12" s="27" t="s">
        <v>167</v>
      </c>
      <c r="G12" s="28" t="s">
        <v>173</v>
      </c>
      <c r="H12" s="29" t="s">
        <v>160</v>
      </c>
    </row>
    <row r="13" spans="1:9" x14ac:dyDescent="0.3">
      <c r="A13" s="21" t="s">
        <v>66</v>
      </c>
      <c r="B13" s="23" t="s">
        <v>163</v>
      </c>
      <c r="C13" s="24" t="s">
        <v>162</v>
      </c>
      <c r="D13" s="25" t="s">
        <v>163</v>
      </c>
      <c r="E13" s="26" t="s">
        <v>162</v>
      </c>
      <c r="F13" s="27" t="s">
        <v>163</v>
      </c>
      <c r="G13" s="28" t="s">
        <v>162</v>
      </c>
      <c r="H13" s="29" t="s">
        <v>163</v>
      </c>
    </row>
    <row r="15" spans="1:9" x14ac:dyDescent="0.3">
      <c r="A15" s="55" t="s">
        <v>154</v>
      </c>
      <c r="B15" s="56"/>
      <c r="C15" s="56"/>
      <c r="D15" s="56"/>
      <c r="E15" s="56"/>
      <c r="F15" s="56"/>
      <c r="G15" s="56"/>
      <c r="H15" s="57"/>
    </row>
    <row r="16" spans="1:9" x14ac:dyDescent="0.3">
      <c r="A16" s="2"/>
      <c r="B16" s="22" t="s">
        <v>145</v>
      </c>
      <c r="C16" s="22" t="s">
        <v>146</v>
      </c>
      <c r="D16" s="22" t="s">
        <v>147</v>
      </c>
      <c r="E16" s="22" t="s">
        <v>148</v>
      </c>
      <c r="F16" s="22" t="s">
        <v>149</v>
      </c>
      <c r="G16" s="22" t="s">
        <v>150</v>
      </c>
      <c r="H16" s="22" t="s">
        <v>151</v>
      </c>
    </row>
    <row r="17" spans="1:8" ht="28.8" x14ac:dyDescent="0.3">
      <c r="A17" s="21" t="s">
        <v>152</v>
      </c>
      <c r="B17" s="23" t="s">
        <v>201</v>
      </c>
      <c r="C17" s="24" t="s">
        <v>201</v>
      </c>
      <c r="D17" s="25" t="s">
        <v>201</v>
      </c>
      <c r="E17" s="26" t="s">
        <v>155</v>
      </c>
      <c r="F17" s="27" t="s">
        <v>155</v>
      </c>
      <c r="G17" s="28" t="s">
        <v>155</v>
      </c>
      <c r="H17" s="29" t="s">
        <v>156</v>
      </c>
    </row>
    <row r="18" spans="1:8" x14ac:dyDescent="0.3">
      <c r="A18" s="21" t="s">
        <v>153</v>
      </c>
      <c r="B18" s="23" t="s">
        <v>157</v>
      </c>
      <c r="C18" s="24" t="s">
        <v>158</v>
      </c>
      <c r="D18" s="25" t="s">
        <v>157</v>
      </c>
      <c r="E18" s="26" t="s">
        <v>158</v>
      </c>
      <c r="F18" s="27" t="s">
        <v>158</v>
      </c>
      <c r="G18" s="28" t="s">
        <v>157</v>
      </c>
      <c r="H18" s="29" t="s">
        <v>159</v>
      </c>
    </row>
    <row r="19" spans="1:8" ht="43.2" x14ac:dyDescent="0.3">
      <c r="A19" s="21" t="s">
        <v>7</v>
      </c>
      <c r="B19" s="23" t="s">
        <v>169</v>
      </c>
      <c r="C19" s="24" t="s">
        <v>179</v>
      </c>
      <c r="D19" s="25" t="s">
        <v>170</v>
      </c>
      <c r="E19" s="26" t="s">
        <v>178</v>
      </c>
      <c r="F19" s="27" t="s">
        <v>169</v>
      </c>
      <c r="G19" s="28" t="s">
        <v>180</v>
      </c>
      <c r="H19" s="29" t="s">
        <v>160</v>
      </c>
    </row>
    <row r="20" spans="1:8" x14ac:dyDescent="0.3">
      <c r="A20" s="21" t="s">
        <v>66</v>
      </c>
      <c r="B20" s="23" t="s">
        <v>163</v>
      </c>
      <c r="C20" s="24" t="s">
        <v>162</v>
      </c>
      <c r="D20" s="25" t="s">
        <v>163</v>
      </c>
      <c r="E20" s="26" t="s">
        <v>162</v>
      </c>
      <c r="F20" s="27" t="s">
        <v>163</v>
      </c>
      <c r="G20" s="28" t="s">
        <v>162</v>
      </c>
      <c r="H20" s="29" t="s">
        <v>163</v>
      </c>
    </row>
  </sheetData>
  <mergeCells count="3">
    <mergeCell ref="A1:H1"/>
    <mergeCell ref="A8:H8"/>
    <mergeCell ref="A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Registro de Compras</vt:lpstr>
      <vt:lpstr>Resumen Semanal</vt:lpstr>
      <vt:lpstr>Productos Recurrentes</vt:lpstr>
      <vt:lpstr>Comidas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godinez chavero</cp:lastModifiedBy>
  <dcterms:created xsi:type="dcterms:W3CDTF">2025-08-18T07:47:28Z</dcterms:created>
  <dcterms:modified xsi:type="dcterms:W3CDTF">2025-10-27T22:14:41Z</dcterms:modified>
</cp:coreProperties>
</file>